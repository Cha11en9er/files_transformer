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3256" windowHeight="12432"/>
  </bookViews>
  <sheets>
    <sheet name="1" sheetId="2" r:id="rId1"/>
    <sheet name="Лист1" sheetId="3" r:id="rId2"/>
  </sheets>
  <definedNames>
    <definedName name="_xlnm._FilterDatabase" localSheetId="0" hidden="1">'1'!$B$7:$T$17</definedName>
    <definedName name="_xlnm.Print_Titles" localSheetId="0">'1'!$7:$7</definedName>
    <definedName name="_xlnm.Print_Area" localSheetId="0">'1'!$A$1:$Q$40</definedName>
  </definedNames>
  <calcPr calcId="124519" refMode="R1C1"/>
</workbook>
</file>

<file path=xl/calcChain.xml><?xml version="1.0" encoding="utf-8"?>
<calcChain xmlns="http://schemas.openxmlformats.org/spreadsheetml/2006/main">
  <c r="Q12" i="2"/>
  <c r="Q13"/>
  <c r="H12"/>
  <c r="H13"/>
  <c r="Q9" l="1"/>
  <c r="Q10"/>
  <c r="Q11"/>
  <c r="H10"/>
  <c r="H11"/>
  <c r="H9"/>
  <c r="H8"/>
  <c r="Q8"/>
  <c r="H14" l="1"/>
  <c r="Q14"/>
</calcChain>
</file>

<file path=xl/sharedStrings.xml><?xml version="1.0" encoding="utf-8"?>
<sst xmlns="http://schemas.openxmlformats.org/spreadsheetml/2006/main" count="106" uniqueCount="85">
  <si>
    <t>№</t>
  </si>
  <si>
    <t>1. Ассортимент и стоимость Товара</t>
  </si>
  <si>
    <t>1. Assortment and price of the Goods</t>
  </si>
  <si>
    <t>Цена, USD</t>
  </si>
  <si>
    <t>Сумма, USD</t>
  </si>
  <si>
    <t>2. Порядок оплаты</t>
  </si>
  <si>
    <t>2.1. Платеж за Товар по настоящей Спецификации осуществляется в следующем порядке:</t>
  </si>
  <si>
    <t>3. Срок отгрузки и поставки</t>
  </si>
  <si>
    <t>Price, USD</t>
  </si>
  <si>
    <t>Amount, USD</t>
  </si>
  <si>
    <t>2.1. Рayment for the goods under this Specification should be done by the following order:</t>
  </si>
  <si>
    <t>3. Shipment and delivery</t>
  </si>
  <si>
    <t>2. Terms of payment</t>
  </si>
  <si>
    <t>после перечисления 100% стоимости  Товара Покупателем Продавцу.</t>
  </si>
  <si>
    <t xml:space="preserve">3.2. The Goods should be delivered to the Russian Federation territory for custom clearance procedures </t>
  </si>
  <si>
    <t xml:space="preserve">Продавец:  </t>
  </si>
  <si>
    <t xml:space="preserve">Покупатель:  </t>
  </si>
  <si>
    <t>_________________</t>
  </si>
  <si>
    <t>(подпись)</t>
  </si>
  <si>
    <t>(расшифровка подписи)</t>
  </si>
  <si>
    <t>Seller:</t>
  </si>
  <si>
    <t>Buyer:</t>
  </si>
  <si>
    <t>(signature)</t>
  </si>
  <si>
    <t>stamp</t>
  </si>
  <si>
    <t>печать</t>
  </si>
  <si>
    <t>Quantity, pcs</t>
  </si>
  <si>
    <t>(printed name)</t>
  </si>
  <si>
    <t>Tsatsulin A.V.</t>
  </si>
  <si>
    <t>Цацулин А.В.</t>
  </si>
  <si>
    <t>Количество, шт.</t>
  </si>
  <si>
    <t>Color / Finish type</t>
  </si>
  <si>
    <t>Цвет /Тип покрытия</t>
  </si>
  <si>
    <t>3.2. Товар должен быть ввезен на территорию РФ для таможенного оформления не позднее 180 календарных дней</t>
  </si>
  <si>
    <t>within 180 calendar days after the date of 100% payment of the cost of the Goods by the Buyer to the Seller.</t>
  </si>
  <si>
    <t>г.Химки</t>
  </si>
  <si>
    <t>g.Himki city</t>
  </si>
  <si>
    <t>3.1. Отгрузка должна быть осуществлена в течение 40 календарных дней с момента подтверждения проформы.</t>
  </si>
  <si>
    <t>3.1 .Shipment should be performed within 40 calendar days from the date of proforma confirmation.</t>
  </si>
  <si>
    <t>zinc/black</t>
  </si>
  <si>
    <t>chrome/grey</t>
  </si>
  <si>
    <t>grey</t>
  </si>
  <si>
    <t>серый</t>
  </si>
  <si>
    <t>Компания  HUANAN INT'L HARDWARE CO., LIMITED  в лице Генерального директора Alistair Lin, действующего на основании Устава, именуемая в дальнейшем "Продавец",  с одной стороны,  и Общество с ограниченной ответственностью «Респект», в лице Генерального директора Цацулина Алексея Викторовича, действующего на основании Устава, именуемая в дальнейшем "Покупатель", с другой стороны Договорились о поставке партии товара согласно настоящей Спецификации:</t>
  </si>
  <si>
    <t>The company HUANAN INT'L HARDWARE CO., LIMITED, represented by General Director Alistair Lin acting based on the Articles  of Association, hereinafter referred to as the Seller, on the one hand and the company “Respect” LLC represented by General Director Alexey Viktorovich Tsatsulin, acting basing on the Articles of Association, hereinafter referred to as the Buyer, on the other hand, have made this Specification on supplying the lot of the Goods as the following:</t>
  </si>
  <si>
    <t>2.1.1. 100% предоплата до отгрузки, является подтверждением Проформы.</t>
  </si>
  <si>
    <t>2.1.1. 100% prepayment  before the shipment as the Proforma Invoice confirmed.</t>
  </si>
  <si>
    <t>3.3. Условия поставки – FOB GUANGZHOU CHINA (ИНКОТЕРМС 2010)</t>
  </si>
  <si>
    <t>3.3. Terms of delivery – FOB GUANGZHOU CHINA (INCOTERMS 2010)</t>
  </si>
  <si>
    <t xml:space="preserve"> Alistair Lin</t>
  </si>
  <si>
    <t>Спецификация №2 к Контракту № HUAH-RS-2018 от 10/04/2018</t>
  </si>
  <si>
    <t>Specification No.2 to the Contract № HUAH-RS-2018 dated 10/04/2018</t>
  </si>
  <si>
    <t>"12" Сентября 2018 г.</t>
  </si>
  <si>
    <t>12 September 2018</t>
  </si>
  <si>
    <t>Код изделия</t>
  </si>
  <si>
    <t xml:space="preserve">Item Code </t>
  </si>
  <si>
    <t>Description</t>
  </si>
  <si>
    <t>Наименование</t>
  </si>
  <si>
    <t>J-34 cn</t>
  </si>
  <si>
    <t>J-34 cnt</t>
  </si>
  <si>
    <t xml:space="preserve">J-34 e </t>
  </si>
  <si>
    <t xml:space="preserve">J-34 et </t>
  </si>
  <si>
    <t>J-34 ic</t>
  </si>
  <si>
    <t>J-34 d</t>
  </si>
  <si>
    <t>Колесо поворотное, М10, d-40мм (черный пластик)</t>
  </si>
  <si>
    <t>Колесо поворотное, М10, d-50мм (серая резина)</t>
  </si>
  <si>
    <t>Колесо поворотное (с тормозом), М10, d-50мм (серая резина)</t>
  </si>
  <si>
    <t>Колесо-шарик, поворотное, М10, d-40мм (серая резина)</t>
  </si>
  <si>
    <t>Колесо поворотное (без тормоза), М10, d-60мм</t>
  </si>
  <si>
    <t>Колесо поворотное (с тормозом), М10, d-60мм</t>
  </si>
  <si>
    <t>Caster swivel, M10, d-40mm (black plastic)</t>
  </si>
  <si>
    <t>Caster swivel, M10, d-50mm (grey rubber)</t>
  </si>
  <si>
    <t>Caster swivel (with stop), M10, d-50mm (grey rubber)</t>
  </si>
  <si>
    <t>Caster-ball, swivel, M10, d-40mm (grey rubber)</t>
  </si>
  <si>
    <t>Caster swivel (without stop), M10, d-60mm</t>
  </si>
  <si>
    <t>Caster swivel (with stop), M10, d-60mm</t>
  </si>
  <si>
    <t>zinc/grey</t>
  </si>
  <si>
    <t>цинк /черный</t>
  </si>
  <si>
    <t>цинк /серый</t>
  </si>
  <si>
    <t xml:space="preserve">хром /серый </t>
  </si>
  <si>
    <t>5. Подписи сторон:</t>
  </si>
  <si>
    <t xml:space="preserve">5. Signatures of the Parties: </t>
  </si>
  <si>
    <t xml:space="preserve"> Покупателю авансовые платежи в течение 30 календарных дней.</t>
  </si>
  <si>
    <t xml:space="preserve">the Seller undertakes to return the advance payments within 30 calendar days </t>
  </si>
  <si>
    <t>4. В случае непоставки товара в течение 40 календарных дней после получения оплаты Продавец обязуется вернуть</t>
  </si>
  <si>
    <t xml:space="preserve">4. In case of non-delivery of the goods within 40 calendar days after receiving payment </t>
  </si>
</sst>
</file>

<file path=xl/styles.xml><?xml version="1.0" encoding="utf-8"?>
<styleSheet xmlns="http://schemas.openxmlformats.org/spreadsheetml/2006/main">
  <numFmts count="2">
    <numFmt numFmtId="164" formatCode="0.0000"/>
    <numFmt numFmtId="165" formatCode="#,##0.000"/>
  </numFmts>
  <fonts count="12">
    <font>
      <sz val="10"/>
      <name val="Arial Cyr"/>
      <charset val="204"/>
    </font>
    <font>
      <b/>
      <sz val="10"/>
      <name val="Arial"/>
      <family val="2"/>
      <charset val="204"/>
    </font>
    <font>
      <sz val="10"/>
      <name val="Arial"/>
      <family val="2"/>
      <charset val="204"/>
    </font>
    <font>
      <sz val="8"/>
      <name val="Arial"/>
      <family val="2"/>
      <charset val="204"/>
    </font>
    <font>
      <b/>
      <u/>
      <sz val="10"/>
      <name val="Arial"/>
      <family val="2"/>
      <charset val="204"/>
    </font>
    <font>
      <sz val="10"/>
      <name val="Arial"/>
      <family val="2"/>
    </font>
    <font>
      <sz val="12"/>
      <name val="宋体"/>
    </font>
    <font>
      <sz val="10"/>
      <name val="Helv"/>
      <family val="2"/>
    </font>
    <font>
      <sz val="12"/>
      <name val="Arial"/>
      <family val="2"/>
      <charset val="204"/>
    </font>
    <font>
      <sz val="9"/>
      <name val="Arial"/>
      <family val="2"/>
      <charset val="204"/>
    </font>
    <font>
      <sz val="11"/>
      <name val="Arial"/>
      <family val="2"/>
      <charset val="204"/>
    </font>
    <font>
      <b/>
      <sz val="11"/>
      <name val="Arial"/>
      <family val="2"/>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6" fillId="0" borderId="0"/>
    <xf numFmtId="0" fontId="7" fillId="0" borderId="0"/>
  </cellStyleXfs>
  <cellXfs count="46">
    <xf numFmtId="0" fontId="0" fillId="0" borderId="0" xfId="0"/>
    <xf numFmtId="0" fontId="1" fillId="0" borderId="1" xfId="0" applyFont="1" applyFill="1" applyBorder="1" applyAlignment="1">
      <alignment horizontal="center" vertical="center" wrapText="1"/>
    </xf>
    <xf numFmtId="2" fontId="4" fillId="0" borderId="0" xfId="0" applyNumberFormat="1" applyFont="1" applyFill="1" applyBorder="1" applyAlignment="1">
      <alignment horizontal="center" vertical="center" wrapText="1"/>
    </xf>
    <xf numFmtId="0" fontId="4" fillId="0" borderId="0" xfId="0" applyFont="1" applyFill="1" applyAlignment="1">
      <alignment vertical="center"/>
    </xf>
    <xf numFmtId="0" fontId="2" fillId="0" borderId="0" xfId="0" applyFont="1" applyFill="1" applyAlignment="1">
      <alignment vertical="center"/>
    </xf>
    <xf numFmtId="0" fontId="2" fillId="0" borderId="0" xfId="2" applyFont="1" applyFill="1" applyBorder="1" applyAlignment="1">
      <alignment horizontal="left" vertical="center"/>
    </xf>
    <xf numFmtId="0" fontId="2" fillId="0" borderId="0" xfId="0" applyFont="1" applyFill="1" applyAlignment="1">
      <alignment horizontal="left" vertical="center"/>
    </xf>
    <xf numFmtId="0" fontId="1" fillId="0" borderId="0" xfId="0" applyFont="1" applyFill="1" applyAlignment="1">
      <alignment horizontal="justify" vertical="center"/>
    </xf>
    <xf numFmtId="0" fontId="2" fillId="0" borderId="0" xfId="0" applyFont="1" applyFill="1" applyAlignment="1">
      <alignment horizontal="justify" vertical="center" wrapText="1"/>
    </xf>
    <xf numFmtId="0" fontId="3" fillId="0" borderId="0" xfId="0" applyFont="1" applyFill="1" applyAlignment="1">
      <alignment horizontal="left" vertical="center"/>
    </xf>
    <xf numFmtId="0" fontId="2" fillId="0" borderId="0" xfId="0" applyFont="1" applyFill="1" applyAlignment="1">
      <alignment horizontal="justify" vertical="center"/>
    </xf>
    <xf numFmtId="0" fontId="1" fillId="0" borderId="0" xfId="0" applyFont="1" applyFill="1" applyAlignment="1">
      <alignment vertical="center"/>
    </xf>
    <xf numFmtId="0" fontId="1" fillId="0" borderId="1" xfId="2" applyFont="1" applyFill="1" applyBorder="1" applyAlignment="1">
      <alignment horizontal="center" vertical="center" wrapText="1"/>
    </xf>
    <xf numFmtId="164" fontId="2" fillId="0" borderId="0" xfId="0" applyNumberFormat="1" applyFont="1" applyFill="1" applyBorder="1" applyAlignment="1">
      <alignment vertical="center"/>
    </xf>
    <xf numFmtId="1" fontId="2" fillId="0" borderId="0" xfId="0" applyNumberFormat="1" applyFont="1" applyFill="1" applyAlignment="1">
      <alignment vertical="center"/>
    </xf>
    <xf numFmtId="0" fontId="2" fillId="0" borderId="0" xfId="0" applyFont="1" applyFill="1" applyAlignment="1">
      <alignment horizontal="right" vertical="center"/>
    </xf>
    <xf numFmtId="0" fontId="2" fillId="0" borderId="0" xfId="0" applyFont="1" applyFill="1" applyAlignment="1">
      <alignment horizontal="left" vertical="center" wrapText="1"/>
    </xf>
    <xf numFmtId="0" fontId="4" fillId="0"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0" xfId="0" applyFont="1" applyFill="1" applyAlignment="1">
      <alignment horizontal="center" vertical="center" wrapText="1"/>
    </xf>
    <xf numFmtId="0" fontId="2" fillId="0" borderId="0" xfId="0" applyFont="1" applyFill="1" applyAlignment="1">
      <alignment horizontal="center" vertical="center"/>
    </xf>
    <xf numFmtId="0" fontId="8" fillId="0" borderId="0" xfId="0" applyFont="1" applyFill="1" applyAlignment="1">
      <alignment horizontal="left" vertical="center"/>
    </xf>
    <xf numFmtId="164" fontId="2" fillId="0" borderId="0" xfId="0" applyNumberFormat="1" applyFont="1" applyFill="1" applyBorder="1" applyAlignment="1">
      <alignment horizontal="left" vertical="center"/>
    </xf>
    <xf numFmtId="1" fontId="2" fillId="0" borderId="0" xfId="0" applyNumberFormat="1" applyFont="1" applyFill="1" applyAlignment="1">
      <alignment horizontal="left" vertical="center"/>
    </xf>
    <xf numFmtId="0" fontId="9" fillId="0" borderId="0" xfId="0" applyFont="1" applyFill="1" applyAlignment="1">
      <alignment horizontal="left" vertical="center"/>
    </xf>
    <xf numFmtId="14" fontId="2" fillId="0" borderId="0" xfId="0" applyNumberFormat="1" applyFont="1" applyFill="1" applyAlignment="1">
      <alignment vertical="center"/>
    </xf>
    <xf numFmtId="3" fontId="10" fillId="0" borderId="1" xfId="0" applyNumberFormat="1" applyFont="1" applyFill="1" applyBorder="1" applyAlignment="1">
      <alignment horizontal="center" vertical="center"/>
    </xf>
    <xf numFmtId="0" fontId="10" fillId="0" borderId="1" xfId="3" applyFont="1" applyFill="1" applyBorder="1" applyAlignment="1">
      <alignment horizontal="center" vertical="center" wrapText="1"/>
    </xf>
    <xf numFmtId="3" fontId="10" fillId="0" borderId="1" xfId="1" applyNumberFormat="1" applyFont="1" applyFill="1" applyBorder="1" applyAlignment="1">
      <alignment horizontal="center" vertical="center"/>
    </xf>
    <xf numFmtId="165" fontId="10" fillId="0" borderId="1" xfId="3" applyNumberFormat="1" applyFont="1" applyFill="1" applyBorder="1" applyAlignment="1">
      <alignment horizontal="center" vertical="center"/>
    </xf>
    <xf numFmtId="4" fontId="10" fillId="0" borderId="1" xfId="3" applyNumberFormat="1" applyFont="1" applyFill="1" applyBorder="1" applyAlignment="1">
      <alignment horizontal="center" vertical="center"/>
    </xf>
    <xf numFmtId="0" fontId="10" fillId="0" borderId="0" xfId="0" applyFont="1" applyFill="1" applyAlignment="1">
      <alignment vertical="center"/>
    </xf>
    <xf numFmtId="4" fontId="10" fillId="0" borderId="0" xfId="0" applyNumberFormat="1" applyFont="1" applyFill="1" applyBorder="1" applyAlignment="1">
      <alignment horizontal="center" vertical="center"/>
    </xf>
    <xf numFmtId="164" fontId="10" fillId="0" borderId="0" xfId="0" applyNumberFormat="1" applyFont="1" applyFill="1" applyBorder="1" applyAlignment="1">
      <alignment horizontal="center" vertical="center"/>
    </xf>
    <xf numFmtId="0" fontId="11" fillId="0" borderId="0" xfId="0" applyFont="1" applyFill="1" applyAlignment="1">
      <alignment vertical="center"/>
    </xf>
    <xf numFmtId="165" fontId="11" fillId="0" borderId="0" xfId="0" applyNumberFormat="1" applyFont="1" applyFill="1" applyAlignment="1">
      <alignment vertical="center"/>
    </xf>
    <xf numFmtId="4" fontId="11" fillId="0" borderId="0" xfId="0" applyNumberFormat="1" applyFont="1" applyFill="1" applyAlignment="1">
      <alignment vertical="center"/>
    </xf>
    <xf numFmtId="0" fontId="10" fillId="0" borderId="0" xfId="0" applyFont="1" applyFill="1" applyAlignment="1">
      <alignment horizontal="left" vertical="center"/>
    </xf>
    <xf numFmtId="0" fontId="10" fillId="0" borderId="0" xfId="0" applyFont="1" applyFill="1" applyAlignment="1">
      <alignment horizontal="center" vertical="center"/>
    </xf>
    <xf numFmtId="0" fontId="10" fillId="0" borderId="1" xfId="0" applyFont="1" applyFill="1" applyBorder="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wrapText="1"/>
    </xf>
    <xf numFmtId="0" fontId="2" fillId="0" borderId="0" xfId="0" applyNumberFormat="1" applyFont="1" applyFill="1" applyAlignment="1">
      <alignment horizontal="left" vertical="center" wrapText="1"/>
    </xf>
    <xf numFmtId="0" fontId="4" fillId="0" borderId="0" xfId="0" applyFont="1" applyFill="1" applyAlignment="1">
      <alignment horizontal="left" vertical="center"/>
    </xf>
    <xf numFmtId="0" fontId="1" fillId="0" borderId="0" xfId="0" applyFont="1" applyFill="1" applyAlignment="1">
      <alignment horizontal="left" vertical="center"/>
    </xf>
    <xf numFmtId="0" fontId="1" fillId="0" borderId="0" xfId="0" applyFont="1" applyFill="1" applyAlignment="1">
      <alignment horizontal="left" vertical="center"/>
    </xf>
  </cellXfs>
  <cellStyles count="4">
    <cellStyle name="Обычный" xfId="0" builtinId="0"/>
    <cellStyle name="Стиль 1" xfId="1"/>
    <cellStyle name="常规_Sheet1" xfId="2"/>
    <cellStyle name="樣式 1"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B1:W42"/>
  <sheetViews>
    <sheetView tabSelected="1" zoomScale="85" zoomScaleNormal="85" zoomScaleSheetLayoutView="84" workbookViewId="0">
      <selection activeCell="M37" sqref="M37"/>
    </sheetView>
  </sheetViews>
  <sheetFormatPr defaultColWidth="9.109375" defaultRowHeight="13.2"/>
  <cols>
    <col min="1" max="1" width="1.5546875" style="4" customWidth="1"/>
    <col min="2" max="2" width="6.33203125" style="24" customWidth="1"/>
    <col min="3" max="3" width="11" style="24" customWidth="1"/>
    <col min="4" max="4" width="55" style="4" customWidth="1"/>
    <col min="5" max="5" width="12.88671875" style="4" customWidth="1"/>
    <col min="6" max="8" width="14.44140625" style="4" customWidth="1"/>
    <col min="9" max="9" width="2.109375" style="4" customWidth="1"/>
    <col min="10" max="10" width="1.5546875" style="4" customWidth="1"/>
    <col min="11" max="11" width="6.33203125" style="4" customWidth="1"/>
    <col min="12" max="12" width="11" style="4" customWidth="1"/>
    <col min="13" max="13" width="55" style="4" customWidth="1"/>
    <col min="14" max="14" width="12.88671875" style="4" customWidth="1"/>
    <col min="15" max="15" width="14.44140625" style="4" customWidth="1"/>
    <col min="16" max="16" width="14.44140625" style="13" customWidth="1"/>
    <col min="17" max="17" width="14.44140625" style="14" customWidth="1"/>
    <col min="18" max="18" width="3.44140625" style="4" customWidth="1"/>
    <col min="19" max="19" width="4.5546875" style="4" customWidth="1"/>
    <col min="20" max="16384" width="9.109375" style="4"/>
  </cols>
  <sheetData>
    <row r="1" spans="2:23">
      <c r="B1" s="6"/>
      <c r="C1" s="6"/>
    </row>
    <row r="2" spans="2:23">
      <c r="B2" s="11" t="s">
        <v>49</v>
      </c>
      <c r="C2" s="11"/>
      <c r="K2" s="11" t="s">
        <v>50</v>
      </c>
      <c r="L2" s="11"/>
    </row>
    <row r="3" spans="2:23">
      <c r="B3" s="4"/>
      <c r="C3" s="4"/>
    </row>
    <row r="4" spans="2:23" ht="16.5" customHeight="1">
      <c r="B4" s="6" t="s">
        <v>34</v>
      </c>
      <c r="C4" s="6"/>
      <c r="H4" s="15" t="s">
        <v>51</v>
      </c>
      <c r="K4" s="6" t="s">
        <v>35</v>
      </c>
      <c r="L4" s="6"/>
      <c r="O4" s="6"/>
      <c r="P4" s="6"/>
      <c r="Q4" s="15" t="s">
        <v>52</v>
      </c>
    </row>
    <row r="5" spans="2:23" s="16" customFormat="1" ht="60" customHeight="1">
      <c r="B5" s="42" t="s">
        <v>42</v>
      </c>
      <c r="C5" s="42"/>
      <c r="D5" s="42"/>
      <c r="E5" s="42"/>
      <c r="F5" s="42"/>
      <c r="G5" s="42"/>
      <c r="H5" s="42"/>
      <c r="K5" s="42" t="s">
        <v>43</v>
      </c>
      <c r="L5" s="42"/>
      <c r="M5" s="42"/>
      <c r="N5" s="42"/>
      <c r="O5" s="42"/>
      <c r="P5" s="42"/>
      <c r="Q5" s="42"/>
    </row>
    <row r="6" spans="2:23" ht="23.25" customHeight="1">
      <c r="B6" s="3" t="s">
        <v>1</v>
      </c>
      <c r="C6" s="3"/>
      <c r="K6" s="40" t="s">
        <v>2</v>
      </c>
      <c r="L6" s="40"/>
    </row>
    <row r="7" spans="2:23" s="19" customFormat="1" ht="59.25" customHeight="1">
      <c r="B7" s="17" t="s">
        <v>0</v>
      </c>
      <c r="C7" s="17" t="s">
        <v>53</v>
      </c>
      <c r="D7" s="1" t="s">
        <v>56</v>
      </c>
      <c r="E7" s="12" t="s">
        <v>31</v>
      </c>
      <c r="F7" s="1" t="s">
        <v>29</v>
      </c>
      <c r="G7" s="1" t="s">
        <v>3</v>
      </c>
      <c r="H7" s="1" t="s">
        <v>4</v>
      </c>
      <c r="I7" s="11"/>
      <c r="J7" s="18"/>
      <c r="K7" s="17" t="s">
        <v>0</v>
      </c>
      <c r="L7" s="17" t="s">
        <v>54</v>
      </c>
      <c r="M7" s="12" t="s">
        <v>55</v>
      </c>
      <c r="N7" s="12" t="s">
        <v>30</v>
      </c>
      <c r="O7" s="1" t="s">
        <v>25</v>
      </c>
      <c r="P7" s="1" t="s">
        <v>8</v>
      </c>
      <c r="Q7" s="1" t="s">
        <v>9</v>
      </c>
      <c r="R7" s="2"/>
      <c r="T7" s="4"/>
      <c r="U7" s="4"/>
      <c r="V7" s="4"/>
      <c r="W7" s="4"/>
    </row>
    <row r="8" spans="2:23" s="31" customFormat="1" ht="32.25" customHeight="1">
      <c r="B8" s="26">
        <v>1</v>
      </c>
      <c r="C8" s="26" t="s">
        <v>61</v>
      </c>
      <c r="D8" s="27" t="s">
        <v>63</v>
      </c>
      <c r="E8" s="27" t="s">
        <v>76</v>
      </c>
      <c r="F8" s="28">
        <v>20000</v>
      </c>
      <c r="G8" s="29">
        <v>0.13800000000000001</v>
      </c>
      <c r="H8" s="30">
        <f>G8*F8</f>
        <v>2760.0000000000005</v>
      </c>
      <c r="J8" s="32"/>
      <c r="K8" s="26">
        <v>1</v>
      </c>
      <c r="L8" s="26" t="s">
        <v>61</v>
      </c>
      <c r="M8" s="27" t="s">
        <v>69</v>
      </c>
      <c r="N8" s="27" t="s">
        <v>38</v>
      </c>
      <c r="O8" s="28">
        <v>20000</v>
      </c>
      <c r="P8" s="29">
        <v>0.13800000000000001</v>
      </c>
      <c r="Q8" s="30">
        <f>O8*P8</f>
        <v>2760.0000000000005</v>
      </c>
      <c r="S8" s="33"/>
      <c r="T8" s="4"/>
      <c r="U8" s="4"/>
      <c r="V8" s="4"/>
      <c r="W8" s="4"/>
    </row>
    <row r="9" spans="2:23" s="31" customFormat="1" ht="32.25" customHeight="1">
      <c r="B9" s="26">
        <v>2</v>
      </c>
      <c r="C9" s="26" t="s">
        <v>57</v>
      </c>
      <c r="D9" s="27" t="s">
        <v>64</v>
      </c>
      <c r="E9" s="27" t="s">
        <v>77</v>
      </c>
      <c r="F9" s="28">
        <v>980</v>
      </c>
      <c r="G9" s="29">
        <v>0.36</v>
      </c>
      <c r="H9" s="30">
        <f>G9*F9</f>
        <v>352.8</v>
      </c>
      <c r="J9" s="32"/>
      <c r="K9" s="26">
        <v>2</v>
      </c>
      <c r="L9" s="26" t="s">
        <v>57</v>
      </c>
      <c r="M9" s="27" t="s">
        <v>70</v>
      </c>
      <c r="N9" s="27" t="s">
        <v>75</v>
      </c>
      <c r="O9" s="28">
        <v>980</v>
      </c>
      <c r="P9" s="29">
        <v>0.36</v>
      </c>
      <c r="Q9" s="30">
        <f t="shared" ref="Q9:Q13" si="0">O9*P9</f>
        <v>352.8</v>
      </c>
      <c r="S9" s="33"/>
      <c r="T9" s="4"/>
      <c r="U9" s="4"/>
      <c r="V9" s="4"/>
      <c r="W9" s="4"/>
    </row>
    <row r="10" spans="2:23" s="31" customFormat="1" ht="32.25" customHeight="1">
      <c r="B10" s="26">
        <v>3</v>
      </c>
      <c r="C10" s="26" t="s">
        <v>58</v>
      </c>
      <c r="D10" s="27" t="s">
        <v>65</v>
      </c>
      <c r="E10" s="27" t="s">
        <v>77</v>
      </c>
      <c r="F10" s="28">
        <v>980</v>
      </c>
      <c r="G10" s="29">
        <v>0.57999999999999996</v>
      </c>
      <c r="H10" s="30">
        <f t="shared" ref="H10:H13" si="1">G10*F10</f>
        <v>568.4</v>
      </c>
      <c r="J10" s="32"/>
      <c r="K10" s="26">
        <v>3</v>
      </c>
      <c r="L10" s="26" t="s">
        <v>58</v>
      </c>
      <c r="M10" s="27" t="s">
        <v>71</v>
      </c>
      <c r="N10" s="27" t="s">
        <v>75</v>
      </c>
      <c r="O10" s="28">
        <v>980</v>
      </c>
      <c r="P10" s="29">
        <v>0.57999999999999996</v>
      </c>
      <c r="Q10" s="30">
        <f t="shared" si="0"/>
        <v>568.4</v>
      </c>
      <c r="S10" s="33"/>
      <c r="T10" s="4"/>
      <c r="U10" s="4"/>
      <c r="V10" s="4"/>
      <c r="W10" s="4"/>
    </row>
    <row r="11" spans="2:23" s="31" customFormat="1" ht="32.25" customHeight="1">
      <c r="B11" s="26">
        <v>4</v>
      </c>
      <c r="C11" s="26" t="s">
        <v>62</v>
      </c>
      <c r="D11" s="39" t="s">
        <v>66</v>
      </c>
      <c r="E11" s="27" t="s">
        <v>78</v>
      </c>
      <c r="F11" s="28">
        <v>1000</v>
      </c>
      <c r="G11" s="29">
        <v>0.34</v>
      </c>
      <c r="H11" s="30">
        <f t="shared" si="1"/>
        <v>340</v>
      </c>
      <c r="J11" s="32"/>
      <c r="K11" s="26">
        <v>4</v>
      </c>
      <c r="L11" s="26" t="s">
        <v>62</v>
      </c>
      <c r="M11" s="27" t="s">
        <v>72</v>
      </c>
      <c r="N11" s="27" t="s">
        <v>39</v>
      </c>
      <c r="O11" s="28">
        <v>1000</v>
      </c>
      <c r="P11" s="29">
        <v>0.34</v>
      </c>
      <c r="Q11" s="30">
        <f t="shared" si="0"/>
        <v>340</v>
      </c>
      <c r="S11" s="33"/>
      <c r="T11" s="4"/>
      <c r="U11" s="4"/>
      <c r="V11" s="4"/>
      <c r="W11" s="4"/>
    </row>
    <row r="12" spans="2:23" s="31" customFormat="1" ht="32.25" customHeight="1">
      <c r="B12" s="26">
        <v>5</v>
      </c>
      <c r="C12" s="26" t="s">
        <v>59</v>
      </c>
      <c r="D12" s="39" t="s">
        <v>67</v>
      </c>
      <c r="E12" s="27" t="s">
        <v>41</v>
      </c>
      <c r="F12" s="28">
        <v>360</v>
      </c>
      <c r="G12" s="29">
        <v>0.52</v>
      </c>
      <c r="H12" s="30">
        <f t="shared" si="1"/>
        <v>187.20000000000002</v>
      </c>
      <c r="J12" s="32"/>
      <c r="K12" s="26">
        <v>5</v>
      </c>
      <c r="L12" s="26" t="s">
        <v>59</v>
      </c>
      <c r="M12" s="27" t="s">
        <v>73</v>
      </c>
      <c r="N12" s="27" t="s">
        <v>40</v>
      </c>
      <c r="O12" s="28">
        <v>360</v>
      </c>
      <c r="P12" s="29">
        <v>0.52</v>
      </c>
      <c r="Q12" s="30">
        <f t="shared" si="0"/>
        <v>187.20000000000002</v>
      </c>
      <c r="S12" s="33"/>
      <c r="T12" s="4"/>
      <c r="U12" s="4"/>
      <c r="V12" s="4"/>
      <c r="W12" s="4"/>
    </row>
    <row r="13" spans="2:23" s="31" customFormat="1" ht="32.25" customHeight="1">
      <c r="B13" s="26">
        <v>6</v>
      </c>
      <c r="C13" s="26" t="s">
        <v>60</v>
      </c>
      <c r="D13" s="39" t="s">
        <v>68</v>
      </c>
      <c r="E13" s="27" t="s">
        <v>41</v>
      </c>
      <c r="F13" s="28">
        <v>360</v>
      </c>
      <c r="G13" s="29">
        <v>0.54</v>
      </c>
      <c r="H13" s="30">
        <f t="shared" si="1"/>
        <v>194.4</v>
      </c>
      <c r="J13" s="32"/>
      <c r="K13" s="26">
        <v>6</v>
      </c>
      <c r="L13" s="26" t="s">
        <v>60</v>
      </c>
      <c r="M13" s="27" t="s">
        <v>74</v>
      </c>
      <c r="N13" s="27" t="s">
        <v>40</v>
      </c>
      <c r="O13" s="28">
        <v>360</v>
      </c>
      <c r="P13" s="29">
        <v>0.54</v>
      </c>
      <c r="Q13" s="30">
        <f t="shared" si="0"/>
        <v>194.4</v>
      </c>
      <c r="S13" s="33"/>
      <c r="T13" s="4"/>
      <c r="U13" s="4"/>
      <c r="V13" s="4"/>
      <c r="W13" s="4"/>
    </row>
    <row r="14" spans="2:23" s="31" customFormat="1" ht="13.8">
      <c r="D14" s="34"/>
      <c r="E14" s="34"/>
      <c r="F14" s="34"/>
      <c r="G14" s="35"/>
      <c r="H14" s="36">
        <f>SUM(H8:H13)</f>
        <v>4402.8</v>
      </c>
      <c r="N14" s="37"/>
      <c r="P14" s="37"/>
      <c r="Q14" s="36">
        <f>SUM(Q8:Q13)</f>
        <v>4402.8</v>
      </c>
      <c r="R14" s="38"/>
      <c r="S14" s="38"/>
    </row>
    <row r="15" spans="2:23" ht="15" customHeight="1">
      <c r="B15" s="43" t="s">
        <v>5</v>
      </c>
      <c r="C15" s="43"/>
      <c r="D15" s="43"/>
      <c r="E15" s="43"/>
      <c r="F15" s="43"/>
      <c r="G15" s="43"/>
      <c r="H15" s="43"/>
      <c r="K15" s="3" t="s">
        <v>12</v>
      </c>
      <c r="L15" s="3"/>
      <c r="N15" s="6"/>
      <c r="P15" s="6"/>
      <c r="Q15" s="6"/>
      <c r="R15" s="20"/>
      <c r="S15" s="20"/>
    </row>
    <row r="16" spans="2:23" ht="12.75" customHeight="1">
      <c r="B16" s="4" t="s">
        <v>6</v>
      </c>
      <c r="C16" s="4"/>
      <c r="K16" s="6" t="s">
        <v>10</v>
      </c>
      <c r="L16" s="6"/>
      <c r="N16" s="6"/>
      <c r="P16" s="6"/>
      <c r="Q16" s="6"/>
      <c r="R16" s="20"/>
      <c r="S16" s="20"/>
    </row>
    <row r="17" spans="2:20" ht="12.75" customHeight="1">
      <c r="B17" s="4" t="s">
        <v>44</v>
      </c>
      <c r="C17" s="4"/>
      <c r="K17" s="5" t="s">
        <v>45</v>
      </c>
      <c r="L17" s="5"/>
      <c r="N17" s="6"/>
      <c r="P17" s="6"/>
      <c r="Q17" s="6"/>
      <c r="R17" s="20"/>
      <c r="S17" s="20"/>
    </row>
    <row r="18" spans="2:20" ht="12.75" customHeight="1">
      <c r="B18" s="4"/>
      <c r="C18" s="4"/>
      <c r="N18" s="6"/>
      <c r="Q18" s="6"/>
      <c r="R18" s="20"/>
      <c r="S18" s="20"/>
    </row>
    <row r="19" spans="2:20" ht="16.5" customHeight="1">
      <c r="B19" s="3" t="s">
        <v>7</v>
      </c>
      <c r="C19" s="3"/>
      <c r="D19" s="3"/>
      <c r="E19" s="3"/>
      <c r="F19" s="3"/>
      <c r="G19" s="3"/>
      <c r="H19" s="3"/>
      <c r="K19" s="3" t="s">
        <v>11</v>
      </c>
      <c r="L19" s="3"/>
      <c r="M19" s="3"/>
      <c r="N19" s="3"/>
      <c r="O19" s="3"/>
      <c r="Q19" s="3"/>
      <c r="R19" s="20"/>
      <c r="S19" s="20"/>
    </row>
    <row r="20" spans="2:20" ht="12.75" customHeight="1">
      <c r="B20" s="4" t="s">
        <v>36</v>
      </c>
      <c r="C20" s="4"/>
      <c r="K20" s="6" t="s">
        <v>37</v>
      </c>
      <c r="L20" s="6"/>
      <c r="M20" s="6"/>
      <c r="N20" s="6"/>
      <c r="O20" s="6"/>
      <c r="Q20" s="6"/>
      <c r="R20" s="20"/>
      <c r="S20" s="20"/>
    </row>
    <row r="21" spans="2:20">
      <c r="B21" s="4" t="s">
        <v>32</v>
      </c>
      <c r="C21" s="4"/>
      <c r="K21" s="4" t="s">
        <v>14</v>
      </c>
      <c r="Q21" s="4"/>
    </row>
    <row r="22" spans="2:20">
      <c r="B22" s="4" t="s">
        <v>13</v>
      </c>
      <c r="C22" s="4"/>
      <c r="K22" s="4" t="s">
        <v>33</v>
      </c>
      <c r="M22" s="6"/>
      <c r="N22" s="6"/>
      <c r="Q22" s="6"/>
      <c r="R22" s="20"/>
      <c r="S22" s="20"/>
    </row>
    <row r="23" spans="2:20" ht="15.75" customHeight="1">
      <c r="B23" s="4" t="s">
        <v>46</v>
      </c>
      <c r="C23" s="4"/>
      <c r="J23" s="11"/>
      <c r="K23" s="4" t="s">
        <v>47</v>
      </c>
      <c r="Q23" s="4"/>
      <c r="R23" s="20"/>
      <c r="S23" s="20"/>
    </row>
    <row r="24" spans="2:20">
      <c r="B24" s="7"/>
      <c r="C24" s="7"/>
      <c r="E24" s="11"/>
      <c r="F24" s="11"/>
      <c r="G24" s="11"/>
      <c r="H24" s="11"/>
      <c r="K24" s="6"/>
      <c r="L24" s="6"/>
      <c r="N24" s="6"/>
      <c r="Q24" s="6"/>
      <c r="R24" s="20"/>
      <c r="S24" s="20"/>
    </row>
    <row r="25" spans="2:20">
      <c r="B25" s="44" t="s">
        <v>83</v>
      </c>
      <c r="C25" s="44"/>
      <c r="D25" s="44"/>
      <c r="E25" s="44"/>
      <c r="F25" s="44"/>
      <c r="G25" s="44"/>
      <c r="H25" s="44"/>
      <c r="K25" s="45" t="s">
        <v>84</v>
      </c>
      <c r="L25" s="11"/>
      <c r="M25" s="11"/>
      <c r="N25" s="45"/>
      <c r="O25" s="11"/>
      <c r="P25" s="6"/>
      <c r="Q25" s="6"/>
      <c r="R25" s="6"/>
      <c r="S25" s="20"/>
      <c r="T25" s="20"/>
    </row>
    <row r="26" spans="2:20">
      <c r="B26" s="44" t="s">
        <v>81</v>
      </c>
      <c r="C26" s="44"/>
      <c r="D26" s="44"/>
      <c r="E26" s="44"/>
      <c r="F26" s="44"/>
      <c r="G26" s="44"/>
      <c r="H26" s="11"/>
      <c r="K26" s="45" t="s">
        <v>82</v>
      </c>
      <c r="L26" s="11"/>
      <c r="M26" s="11"/>
      <c r="N26" s="45"/>
      <c r="O26" s="11"/>
      <c r="P26" s="6"/>
      <c r="Q26" s="6"/>
      <c r="R26" s="6"/>
      <c r="S26" s="20"/>
      <c r="T26" s="20"/>
    </row>
    <row r="27" spans="2:20">
      <c r="B27" s="7"/>
      <c r="C27" s="7"/>
      <c r="E27" s="11"/>
      <c r="F27" s="11"/>
      <c r="G27" s="11"/>
      <c r="H27" s="11"/>
      <c r="K27" s="6"/>
      <c r="L27" s="6"/>
      <c r="N27" s="6"/>
      <c r="Q27" s="6"/>
      <c r="R27" s="20"/>
      <c r="S27" s="20"/>
    </row>
    <row r="28" spans="2:20">
      <c r="B28" s="7"/>
      <c r="C28" s="7"/>
      <c r="E28" s="11"/>
      <c r="F28" s="11"/>
      <c r="G28" s="11"/>
      <c r="H28" s="11"/>
      <c r="K28" s="6"/>
      <c r="L28" s="6"/>
      <c r="N28" s="6"/>
      <c r="Q28" s="6"/>
      <c r="R28" s="20"/>
      <c r="S28" s="20"/>
    </row>
    <row r="29" spans="2:20" ht="18" customHeight="1">
      <c r="B29" s="41" t="s">
        <v>79</v>
      </c>
      <c r="C29" s="41"/>
      <c r="D29" s="41"/>
      <c r="E29" s="41"/>
      <c r="F29" s="41"/>
      <c r="G29" s="41"/>
      <c r="H29" s="41"/>
      <c r="K29" s="41" t="s">
        <v>80</v>
      </c>
      <c r="L29" s="41"/>
      <c r="M29" s="41"/>
      <c r="N29" s="41"/>
      <c r="O29" s="41"/>
      <c r="P29" s="41"/>
      <c r="Q29" s="41"/>
      <c r="R29" s="20"/>
      <c r="S29" s="20"/>
    </row>
    <row r="30" spans="2:20" ht="10.5" customHeight="1">
      <c r="B30" s="8"/>
      <c r="C30" s="8"/>
      <c r="P30" s="4"/>
      <c r="Q30" s="4"/>
      <c r="R30" s="20"/>
      <c r="S30" s="20"/>
    </row>
    <row r="31" spans="2:20" ht="13.5" customHeight="1">
      <c r="B31" s="4" t="s">
        <v>15</v>
      </c>
      <c r="C31" s="4"/>
      <c r="E31" s="4" t="s">
        <v>16</v>
      </c>
      <c r="K31" s="4" t="s">
        <v>20</v>
      </c>
      <c r="N31" s="4" t="s">
        <v>21</v>
      </c>
      <c r="P31" s="4"/>
      <c r="Q31" s="4"/>
      <c r="R31" s="20"/>
      <c r="S31" s="20"/>
    </row>
    <row r="32" spans="2:20" s="6" customFormat="1" ht="25.5" customHeight="1"/>
    <row r="33" spans="2:17" s="6" customFormat="1" ht="17.25" customHeight="1"/>
    <row r="34" spans="2:17" s="6" customFormat="1">
      <c r="B34" s="6" t="s">
        <v>17</v>
      </c>
      <c r="E34" s="6" t="s">
        <v>17</v>
      </c>
      <c r="K34" s="6" t="s">
        <v>17</v>
      </c>
      <c r="N34" s="6" t="s">
        <v>17</v>
      </c>
    </row>
    <row r="35" spans="2:17" s="9" customFormat="1" ht="10.199999999999999">
      <c r="B35" s="9" t="s">
        <v>18</v>
      </c>
      <c r="E35" s="9" t="s">
        <v>18</v>
      </c>
      <c r="K35" s="9" t="s">
        <v>22</v>
      </c>
      <c r="N35" s="9" t="s">
        <v>22</v>
      </c>
    </row>
    <row r="36" spans="2:17" s="6" customFormat="1">
      <c r="B36" s="6" t="s">
        <v>48</v>
      </c>
      <c r="E36" s="6" t="s">
        <v>28</v>
      </c>
      <c r="K36" s="6" t="s">
        <v>48</v>
      </c>
      <c r="N36" s="6" t="s">
        <v>27</v>
      </c>
    </row>
    <row r="37" spans="2:17" s="9" customFormat="1" ht="10.199999999999999">
      <c r="B37" s="9" t="s">
        <v>19</v>
      </c>
      <c r="E37" s="9" t="s">
        <v>19</v>
      </c>
      <c r="K37" s="9" t="s">
        <v>26</v>
      </c>
      <c r="N37" s="9" t="s">
        <v>26</v>
      </c>
    </row>
    <row r="38" spans="2:17" s="6" customFormat="1"/>
    <row r="39" spans="2:17" s="9" customFormat="1" ht="10.199999999999999">
      <c r="B39" s="9" t="s">
        <v>24</v>
      </c>
      <c r="E39" s="9" t="s">
        <v>24</v>
      </c>
      <c r="K39" s="9" t="s">
        <v>23</v>
      </c>
      <c r="N39" s="9" t="s">
        <v>23</v>
      </c>
    </row>
    <row r="40" spans="2:17" s="6" customFormat="1" ht="15">
      <c r="E40" s="21"/>
      <c r="F40" s="21"/>
      <c r="G40" s="21"/>
      <c r="H40" s="21"/>
      <c r="P40" s="22"/>
      <c r="Q40" s="23"/>
    </row>
    <row r="41" spans="2:17">
      <c r="B41" s="10"/>
      <c r="C41" s="10"/>
    </row>
    <row r="42" spans="2:17">
      <c r="E42" s="25"/>
      <c r="F42" s="25"/>
    </row>
  </sheetData>
  <mergeCells count="7">
    <mergeCell ref="B29:H29"/>
    <mergeCell ref="K5:Q5"/>
    <mergeCell ref="K29:Q29"/>
    <mergeCell ref="B5:H5"/>
    <mergeCell ref="B15:H15"/>
    <mergeCell ref="B25:H25"/>
    <mergeCell ref="B26:G26"/>
  </mergeCells>
  <phoneticPr fontId="0" type="noConversion"/>
  <pageMargins left="0.35433070866141736" right="7.874015748031496E-2" top="0.47244094488188981" bottom="0.39370078740157483" header="0.51181102362204722" footer="0.51181102362204722"/>
  <pageSetup paperSize="9" scale="55" fitToHeight="2" orientation="landscape" r:id="rId1"/>
  <headerFooter alignWithMargins="0"/>
</worksheet>
</file>

<file path=xl/worksheets/sheet2.xml><?xml version="1.0" encoding="utf-8"?>
<worksheet xmlns="http://schemas.openxmlformats.org/spreadsheetml/2006/main" xmlns:r="http://schemas.openxmlformats.org/officeDocument/2006/relationships">
  <dimension ref="A1"/>
  <sheetViews>
    <sheetView workbookViewId="0">
      <selection activeCell="H43" sqref="H43"/>
    </sheetView>
  </sheetViews>
  <sheetFormatPr defaultRowHeight="13.2"/>
  <cols>
    <col min="5" max="5" width="19.44140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vt:i4>
      </vt:variant>
    </vt:vector>
  </HeadingPairs>
  <TitlesOfParts>
    <vt:vector size="4" baseType="lpstr">
      <vt:lpstr>1</vt:lpstr>
      <vt:lpstr>Лист1</vt:lpstr>
      <vt:lpstr>'1'!Заголовки_для_печати</vt:lpstr>
      <vt:lpstr>'1'!Область_печати</vt:lpstr>
    </vt:vector>
  </TitlesOfParts>
  <Company>MDM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004</dc:creator>
  <cp:lastModifiedBy>User015</cp:lastModifiedBy>
  <cp:lastPrinted>2018-09-12T08:41:38Z</cp:lastPrinted>
  <dcterms:created xsi:type="dcterms:W3CDTF">2011-02-04T13:51:30Z</dcterms:created>
  <dcterms:modified xsi:type="dcterms:W3CDTF">2018-09-12T14:11:39Z</dcterms:modified>
</cp:coreProperties>
</file>