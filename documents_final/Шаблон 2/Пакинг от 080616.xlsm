
<file path=[Content_Types].xml><?xml version="1.0" encoding="utf-8"?>
<Types xmlns="http://schemas.openxmlformats.org/package/2006/content-types"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/>
  <bookViews>
    <workbookView xWindow="0" yWindow="0" windowWidth="20730" windowHeight="11760"/>
  </bookViews>
  <sheets>
    <sheet name="Пакинг" sheetId="2" r:id="rId1"/>
  </sheets>
  <calcPr calcId="145621"/>
</workbook>
</file>

<file path=xl/calcChain.xml><?xml version="1.0" encoding="utf-8"?>
<calcChain xmlns="http://schemas.openxmlformats.org/spreadsheetml/2006/main">
  <c r="J17" i="2" l="1"/>
  <c r="I17" i="2"/>
  <c r="J16" i="2"/>
  <c r="I16" i="2"/>
  <c r="J15" i="2"/>
  <c r="I15" i="2"/>
  <c r="J14" i="2"/>
  <c r="I14" i="2"/>
</calcChain>
</file>

<file path=xl/sharedStrings.xml><?xml version="1.0" encoding="utf-8"?>
<sst xmlns="http://schemas.openxmlformats.org/spreadsheetml/2006/main" count="58" uniqueCount="57">
  <si>
    <t>215room .NO.999 AIRPORT ROAD WENZHOU CHINA</t>
  </si>
  <si>
    <t xml:space="preserve"> </t>
  </si>
  <si>
    <t>the power steering pump /насос ГУР в комплекте с муфтой (чугун)   налево</t>
  </si>
  <si>
    <t xml:space="preserve">the power steering pump / Насос ГУР(аллюминий) в комплекте с муфтой (правый) </t>
  </si>
  <si>
    <t xml:space="preserve">the power steering pump / Насос ГУР(аллюминий) в комплекте с муфтой (левый) </t>
  </si>
  <si>
    <t xml:space="preserve"> The relief valve /                                Кран пневматическ</t>
  </si>
  <si>
    <t xml:space="preserve">6100-2217                                    </t>
  </si>
  <si>
    <t xml:space="preserve"> Seat Sliders /Салазки</t>
  </si>
  <si>
    <t>DK52-13.8312102</t>
  </si>
  <si>
    <t xml:space="preserve">  Protective casing /Кожух защитный(5 уровне )
</t>
  </si>
  <si>
    <t xml:space="preserve">МП-13.6807018  </t>
  </si>
  <si>
    <t xml:space="preserve">Protective casing /                                 Кожух защитный </t>
  </si>
  <si>
    <t xml:space="preserve">МП-12.6807018                      </t>
  </si>
  <si>
    <t xml:space="preserve">  WENZHOU LONGWAN FOREIGN TRADE CO.,LTD  </t>
  </si>
  <si>
    <t xml:space="preserve">  Tel:8618858753265/0086-577-86658116    E-MAIL: chinesediana@163.com</t>
  </si>
  <si>
    <r>
      <rPr>
        <sz val="16"/>
        <rFont val="新宋体"/>
        <charset val="134"/>
      </rPr>
      <t xml:space="preserve">PACKING LIST           № LW16DV103    </t>
    </r>
    <r>
      <rPr>
        <sz val="12"/>
        <rFont val="新宋体"/>
        <charset val="134"/>
      </rPr>
      <t>DD:14.05.2016</t>
    </r>
  </si>
  <si>
    <t>To: LLC “DT Logistics”125212, Moskow, Vyborgskaya str., 16, b.1 RussiaINN 7713744301</t>
  </si>
  <si>
    <t>From:      NINGBO, CHINA</t>
  </si>
  <si>
    <t>Country of Origin of Goods: CHINA</t>
  </si>
  <si>
    <t xml:space="preserve">To:        </t>
  </si>
  <si>
    <t>Picture</t>
  </si>
  <si>
    <t>MARK</t>
  </si>
  <si>
    <t>Description</t>
  </si>
  <si>
    <t>Package</t>
  </si>
  <si>
    <t>Quantity</t>
  </si>
  <si>
    <t xml:space="preserve">N W </t>
  </si>
  <si>
    <t>GW</t>
  </si>
  <si>
    <t>Quantity/Package</t>
  </si>
  <si>
    <t xml:space="preserve">Gross Net Weight </t>
  </si>
  <si>
    <t>Gross Weight</t>
  </si>
  <si>
    <t>Package size</t>
  </si>
  <si>
    <t xml:space="preserve">Measurements </t>
  </si>
  <si>
    <t>фото</t>
  </si>
  <si>
    <t xml:space="preserve">маркировка
</t>
  </si>
  <si>
    <t>Наименование</t>
  </si>
  <si>
    <t>Кол-во коробок</t>
  </si>
  <si>
    <t>кол.    Шт.</t>
  </si>
  <si>
    <t>Вес Нетто</t>
  </si>
  <si>
    <t>Вес Брутто</t>
  </si>
  <si>
    <t>шт/кор</t>
  </si>
  <si>
    <t xml:space="preserve">Общий Нетто кг </t>
  </si>
  <si>
    <r>
      <rPr>
        <sz val="12"/>
        <rFont val="Arial"/>
        <charset val="134"/>
      </rPr>
      <t xml:space="preserve">Общий Брутто </t>
    </r>
    <r>
      <rPr>
        <sz val="14"/>
        <rFont val="Arial"/>
        <charset val="134"/>
      </rPr>
      <t>кг</t>
    </r>
  </si>
  <si>
    <t>размер коробки</t>
  </si>
  <si>
    <t>м КУБ</t>
  </si>
  <si>
    <t>маркировка</t>
  </si>
  <si>
    <t xml:space="preserve">ZYB-1012L/167-4 (ZYB-1816L/93-11-325) </t>
  </si>
  <si>
    <t>43*34*18</t>
  </si>
  <si>
    <t xml:space="preserve">   ZYB-0910L/93-20A (ZYB-1212R/167-2-325)</t>
  </si>
  <si>
    <t xml:space="preserve">   ZYB-0910R/93-20A (ZYB-1212R/167-2-325)</t>
  </si>
  <si>
    <t xml:space="preserve">43*34*18 </t>
  </si>
  <si>
    <t>38*27*27</t>
  </si>
  <si>
    <t>38*27*12.5</t>
  </si>
  <si>
    <t>54*40*43</t>
  </si>
  <si>
    <t>73*48*33</t>
  </si>
  <si>
    <t>407Packages</t>
  </si>
  <si>
    <t xml:space="preserve">МП-12.6807018        -160 ш/8 колобка  останься у меня .   </t>
  </si>
  <si>
    <t xml:space="preserve">сумма ьыл 45441.5-832=44609.5usd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</si>
</sst>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9" formatCode="0.0_ "/>
  </numFmts>
  <fonts count="25">
    <font>
      <sz val="11"/>
      <color indexed="8"/>
      <name val="Calibri"/>
      <charset val="134"/>
    </font>
    <font>
      <sz val="12"/>
      <color indexed="8"/>
      <name val="Arial"/>
      <charset val="204"/>
    </font>
    <font>
      <sz val="11"/>
      <name val="Calibri"/>
      <charset val="204"/>
    </font>
    <font>
      <b/>
      <sz val="18"/>
      <name val="Times New Roman"/>
      <charset val="204"/>
    </font>
    <font>
      <sz val="12"/>
      <name val="新宋体"/>
      <charset val="134"/>
    </font>
    <font>
      <sz val="10.5"/>
      <name val="新宋体"/>
      <charset val="134"/>
    </font>
    <font>
      <sz val="16"/>
      <name val="新宋体"/>
      <charset val="134"/>
    </font>
    <font>
      <sz val="10.5"/>
      <name val="Tahoma"/>
      <charset val="204"/>
    </font>
    <font>
      <sz val="12"/>
      <name val="Arial"/>
      <charset val="204"/>
    </font>
    <font>
      <sz val="11"/>
      <color theme="1"/>
      <name val="Times New Roman"/>
      <charset val="204"/>
    </font>
    <font>
      <sz val="11"/>
      <color theme="1"/>
      <name val="Arial"/>
      <charset val="204"/>
    </font>
    <font>
      <sz val="11"/>
      <color theme="1"/>
      <name val="Calibri"/>
      <charset val="204"/>
    </font>
    <font>
      <sz val="11"/>
      <color rgb="FFFF0000"/>
      <name val="Calibri"/>
      <charset val="204"/>
    </font>
    <font>
      <sz val="12"/>
      <color theme="1"/>
      <name val="Times New Roman"/>
      <charset val="204"/>
    </font>
    <font>
      <sz val="12"/>
      <color theme="1"/>
      <name val="Arial"/>
      <charset val="204"/>
    </font>
    <font>
      <sz val="12"/>
      <name val="Times New Roman"/>
      <charset val="204"/>
    </font>
    <font>
      <sz val="11"/>
      <color rgb="FFFF0000"/>
      <name val="Calibri"/>
      <charset val="134"/>
    </font>
    <font>
      <sz val="11"/>
      <color rgb="FF000000"/>
      <name val="Calibri"/>
      <charset val="134"/>
    </font>
    <font>
      <sz val="11"/>
      <color theme="1"/>
      <name val="宋体"/>
      <charset val="134"/>
    </font>
    <font>
      <sz val="11"/>
      <name val="宋体"/>
      <charset val="134"/>
    </font>
    <font>
      <sz val="11"/>
      <color indexed="8"/>
      <name val="Calibri"/>
      <charset val="204"/>
    </font>
    <font>
      <sz val="12"/>
      <name val="宋体"/>
      <charset val="134"/>
    </font>
    <font>
      <sz val="12"/>
      <name val="Arial"/>
      <charset val="134"/>
    </font>
    <font>
      <sz val="14"/>
      <name val="Arial"/>
      <charset val="134"/>
    </font>
    <font>
      <sz val="11"/>
      <color indexed="8"/>
      <name val="Calibri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0">
    <xf numFmtId="0" fontId="0" fillId="0" borderId="0">
      <alignment vertical="center"/>
    </xf>
    <xf numFmtId="0" fontId="20" fillId="0" borderId="0">
      <alignment vertical="center"/>
    </xf>
    <xf numFmtId="0" fontId="21" fillId="0" borderId="0">
      <alignment vertical="center"/>
    </xf>
    <xf numFmtId="0" fontId="24" fillId="0" borderId="0">
      <alignment vertical="center"/>
    </xf>
    <xf numFmtId="0" fontId="21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1" fillId="0" borderId="0">
      <alignment vertical="center"/>
    </xf>
  </cellStyleXfs>
  <cellXfs count="78">
    <xf numFmtId="0" fontId="0" fillId="0" borderId="0" xfId="0" applyFont="1" applyAlignment="1"/>
    <xf numFmtId="0" fontId="1" fillId="0" borderId="0" xfId="6" applyFont="1" applyAlignment="1">
      <alignment horizontal="center"/>
    </xf>
    <xf numFmtId="0" fontId="0" fillId="2" borderId="0" xfId="1" applyFont="1" applyFill="1" applyAlignment="1"/>
    <xf numFmtId="0" fontId="0" fillId="0" borderId="0" xfId="6" applyFont="1" applyFill="1" applyAlignment="1"/>
    <xf numFmtId="169" fontId="0" fillId="0" borderId="0" xfId="6" applyNumberFormat="1" applyFont="1" applyAlignment="1"/>
    <xf numFmtId="0" fontId="0" fillId="0" borderId="0" xfId="6" applyFont="1" applyAlignment="1">
      <alignment wrapText="1"/>
    </xf>
    <xf numFmtId="0" fontId="0" fillId="0" borderId="0" xfId="6" applyFont="1" applyAlignment="1">
      <alignment horizontal="center" wrapText="1"/>
    </xf>
    <xf numFmtId="0" fontId="0" fillId="0" borderId="0" xfId="6" applyNumberFormat="1" applyFont="1" applyAlignment="1">
      <alignment horizontal="center" vertical="center" wrapText="1"/>
    </xf>
    <xf numFmtId="0" fontId="6" fillId="0" borderId="2" xfId="3" applyNumberFormat="1" applyFont="1" applyBorder="1" applyAlignment="1">
      <alignment horizontal="center"/>
    </xf>
    <xf numFmtId="0" fontId="6" fillId="0" borderId="3" xfId="3" applyNumberFormat="1" applyFont="1" applyBorder="1" applyAlignment="1">
      <alignment horizontal="center"/>
    </xf>
    <xf numFmtId="0" fontId="7" fillId="0" borderId="1" xfId="6" applyFont="1" applyBorder="1" applyAlignment="1">
      <alignment horizontal="center" vertical="center" wrapText="1"/>
    </xf>
    <xf numFmtId="0" fontId="8" fillId="0" borderId="1" xfId="6" applyFont="1" applyFill="1" applyBorder="1" applyAlignment="1">
      <alignment horizontal="center" vertical="center" wrapText="1"/>
    </xf>
    <xf numFmtId="0" fontId="8" fillId="0" borderId="1" xfId="6" applyFont="1" applyFill="1" applyBorder="1" applyAlignment="1">
      <alignment horizontal="center" vertical="center"/>
    </xf>
    <xf numFmtId="169" fontId="8" fillId="0" borderId="1" xfId="6" applyNumberFormat="1" applyFont="1" applyFill="1" applyBorder="1" applyAlignment="1">
      <alignment horizontal="center" vertical="center" wrapText="1"/>
    </xf>
    <xf numFmtId="0" fontId="8" fillId="0" borderId="8" xfId="6" applyFont="1" applyFill="1" applyBorder="1" applyAlignment="1">
      <alignment horizontal="center" vertical="center"/>
    </xf>
    <xf numFmtId="0" fontId="8" fillId="0" borderId="8" xfId="6" applyFont="1" applyFill="1" applyBorder="1" applyAlignment="1">
      <alignment horizontal="center" vertical="center" wrapText="1"/>
    </xf>
    <xf numFmtId="169" fontId="8" fillId="0" borderId="8" xfId="6" applyNumberFormat="1" applyFont="1" applyFill="1" applyBorder="1" applyAlignment="1">
      <alignment horizontal="center" vertical="center" wrapText="1"/>
    </xf>
    <xf numFmtId="0" fontId="0" fillId="0" borderId="1" xfId="6" applyFont="1" applyFill="1" applyBorder="1" applyAlignment="1">
      <alignment vertical="center"/>
    </xf>
    <xf numFmtId="0" fontId="9" fillId="0" borderId="2" xfId="6" applyFont="1" applyFill="1" applyBorder="1" applyAlignment="1">
      <alignment vertical="center" wrapText="1"/>
    </xf>
    <xf numFmtId="0" fontId="10" fillId="0" borderId="1" xfId="6" applyFont="1" applyFill="1" applyBorder="1" applyAlignment="1">
      <alignment vertical="center" wrapText="1"/>
    </xf>
    <xf numFmtId="0" fontId="10" fillId="0" borderId="1" xfId="6" applyNumberFormat="1" applyFont="1" applyFill="1" applyBorder="1" applyAlignment="1">
      <alignment horizontal="center" vertical="center" wrapText="1"/>
    </xf>
    <xf numFmtId="0" fontId="10" fillId="0" borderId="1" xfId="6" applyFont="1" applyFill="1" applyBorder="1" applyAlignment="1">
      <alignment horizontal="center" vertical="center" wrapText="1"/>
    </xf>
    <xf numFmtId="169" fontId="11" fillId="0" borderId="1" xfId="6" applyNumberFormat="1" applyFont="1" applyFill="1" applyBorder="1" applyAlignment="1">
      <alignment horizontal="center" vertical="center" wrapText="1"/>
    </xf>
    <xf numFmtId="169" fontId="11" fillId="0" borderId="1" xfId="6" applyNumberFormat="1" applyFont="1" applyFill="1" applyBorder="1" applyAlignment="1">
      <alignment vertical="center" wrapText="1"/>
    </xf>
    <xf numFmtId="0" fontId="11" fillId="0" borderId="1" xfId="6" applyFont="1" applyFill="1" applyBorder="1" applyAlignment="1">
      <alignment horizontal="center" vertical="center" wrapText="1"/>
    </xf>
    <xf numFmtId="0" fontId="0" fillId="0" borderId="9" xfId="6" applyFont="1" applyFill="1" applyBorder="1" applyAlignment="1">
      <alignment vertical="center"/>
    </xf>
    <xf numFmtId="0" fontId="9" fillId="0" borderId="6" xfId="6" applyFont="1" applyFill="1" applyBorder="1" applyAlignment="1">
      <alignment vertical="center" wrapText="1"/>
    </xf>
    <xf numFmtId="0" fontId="2" fillId="0" borderId="1" xfId="6" applyFont="1" applyFill="1" applyBorder="1" applyAlignment="1">
      <alignment horizontal="center" vertical="center"/>
    </xf>
    <xf numFmtId="0" fontId="10" fillId="0" borderId="1" xfId="6" applyFont="1" applyFill="1" applyBorder="1" applyAlignment="1">
      <alignment horizontal="center" vertical="center"/>
    </xf>
    <xf numFmtId="0" fontId="12" fillId="0" borderId="8" xfId="6" applyFont="1" applyFill="1" applyBorder="1" applyAlignment="1">
      <alignment horizontal="center" vertical="center"/>
    </xf>
    <xf numFmtId="0" fontId="10" fillId="0" borderId="8" xfId="6" applyFont="1" applyFill="1" applyBorder="1" applyAlignment="1">
      <alignment horizontal="center" vertical="center" wrapText="1"/>
    </xf>
    <xf numFmtId="0" fontId="10" fillId="0" borderId="8" xfId="6" applyNumberFormat="1" applyFont="1" applyFill="1" applyBorder="1" applyAlignment="1">
      <alignment horizontal="center" vertical="center" wrapText="1"/>
    </xf>
    <xf numFmtId="0" fontId="10" fillId="0" borderId="8" xfId="6" applyFont="1" applyFill="1" applyBorder="1" applyAlignment="1">
      <alignment horizontal="center" vertical="center"/>
    </xf>
    <xf numFmtId="0" fontId="1" fillId="2" borderId="1" xfId="6" applyFont="1" applyFill="1" applyBorder="1" applyAlignment="1">
      <alignment horizontal="center"/>
    </xf>
    <xf numFmtId="0" fontId="13" fillId="0" borderId="1" xfId="4" applyFont="1" applyFill="1" applyBorder="1" applyAlignment="1">
      <alignment horizontal="center" vertical="center" wrapText="1"/>
    </xf>
    <xf numFmtId="0" fontId="13" fillId="0" borderId="1" xfId="6" applyNumberFormat="1" applyFont="1" applyFill="1" applyBorder="1" applyAlignment="1">
      <alignment horizontal="center" vertical="center"/>
    </xf>
    <xf numFmtId="0" fontId="14" fillId="0" borderId="1" xfId="6" applyFont="1" applyFill="1" applyBorder="1" applyAlignment="1">
      <alignment horizontal="center" vertical="center"/>
    </xf>
    <xf numFmtId="0" fontId="14" fillId="0" borderId="1" xfId="6" applyFont="1" applyFill="1" applyBorder="1" applyAlignment="1">
      <alignment horizontal="center" vertical="center" wrapText="1"/>
    </xf>
    <xf numFmtId="0" fontId="2" fillId="0" borderId="1" xfId="6" applyFont="1" applyFill="1" applyBorder="1" applyAlignment="1">
      <alignment horizontal="center" vertical="center" wrapText="1"/>
    </xf>
    <xf numFmtId="0" fontId="15" fillId="0" borderId="1" xfId="4" applyFont="1" applyFill="1" applyBorder="1" applyAlignment="1">
      <alignment horizontal="center" vertical="center" wrapText="1"/>
    </xf>
    <xf numFmtId="0" fontId="15" fillId="0" borderId="1" xfId="6" applyNumberFormat="1" applyFont="1" applyFill="1" applyBorder="1" applyAlignment="1">
      <alignment horizontal="center" vertical="center"/>
    </xf>
    <xf numFmtId="0" fontId="16" fillId="0" borderId="0" xfId="3" applyFont="1" applyAlignment="1">
      <alignment horizontal="left"/>
    </xf>
    <xf numFmtId="0" fontId="0" fillId="0" borderId="0" xfId="1" applyFont="1" applyAlignment="1">
      <alignment horizontal="center" vertical="center"/>
    </xf>
    <xf numFmtId="0" fontId="16" fillId="0" borderId="0" xfId="0" applyFont="1">
      <alignment vertical="center"/>
    </xf>
    <xf numFmtId="0" fontId="16" fillId="0" borderId="0" xfId="0" applyFont="1" applyAlignment="1"/>
    <xf numFmtId="0" fontId="17" fillId="0" borderId="0" xfId="0" applyFont="1">
      <alignment vertical="center"/>
    </xf>
    <xf numFmtId="0" fontId="6" fillId="0" borderId="3" xfId="3" applyNumberFormat="1" applyFont="1" applyBorder="1" applyAlignment="1">
      <alignment horizontal="center" vertical="center"/>
    </xf>
    <xf numFmtId="0" fontId="8" fillId="0" borderId="1" xfId="6" applyNumberFormat="1" applyFont="1" applyFill="1" applyBorder="1" applyAlignment="1">
      <alignment horizontal="center" vertical="center" wrapText="1"/>
    </xf>
    <xf numFmtId="0" fontId="8" fillId="0" borderId="8" xfId="6" applyNumberFormat="1" applyFont="1" applyFill="1" applyBorder="1" applyAlignment="1">
      <alignment horizontal="center" vertical="center" wrapText="1"/>
    </xf>
    <xf numFmtId="0" fontId="18" fillId="0" borderId="1" xfId="6" applyFont="1" applyFill="1" applyBorder="1" applyAlignment="1">
      <alignment horizontal="center" vertical="center" wrapText="1"/>
    </xf>
    <xf numFmtId="0" fontId="0" fillId="0" borderId="0" xfId="0" applyFont="1" applyAlignment="1">
      <alignment wrapText="1"/>
    </xf>
    <xf numFmtId="0" fontId="11" fillId="0" borderId="1" xfId="6" applyNumberFormat="1" applyFont="1" applyFill="1" applyBorder="1" applyAlignment="1">
      <alignment horizontal="center" vertical="center" wrapText="1"/>
    </xf>
    <xf numFmtId="0" fontId="11" fillId="0" borderId="8" xfId="6" applyFont="1" applyFill="1" applyBorder="1" applyAlignment="1">
      <alignment horizontal="center" vertical="center" wrapText="1"/>
    </xf>
    <xf numFmtId="0" fontId="18" fillId="0" borderId="8" xfId="6" applyFont="1" applyFill="1" applyBorder="1" applyAlignment="1">
      <alignment horizontal="center" vertical="center" wrapText="1"/>
    </xf>
    <xf numFmtId="0" fontId="11" fillId="0" borderId="8" xfId="6" applyNumberFormat="1" applyFont="1" applyFill="1" applyBorder="1" applyAlignment="1">
      <alignment horizontal="center" vertical="center" wrapText="1"/>
    </xf>
    <xf numFmtId="0" fontId="14" fillId="0" borderId="1" xfId="6" applyNumberFormat="1" applyFont="1" applyFill="1" applyBorder="1" applyAlignment="1">
      <alignment horizontal="center" vertical="center"/>
    </xf>
    <xf numFmtId="0" fontId="19" fillId="0" borderId="1" xfId="6" applyFont="1" applyFill="1" applyBorder="1" applyAlignment="1">
      <alignment horizontal="center" vertical="center" wrapText="1"/>
    </xf>
    <xf numFmtId="0" fontId="8" fillId="0" borderId="1" xfId="6" applyNumberFormat="1" applyFont="1" applyFill="1" applyBorder="1" applyAlignment="1">
      <alignment horizontal="center" vertical="center"/>
    </xf>
    <xf numFmtId="0" fontId="3" fillId="0" borderId="1" xfId="3" applyFont="1" applyBorder="1" applyAlignment="1">
      <alignment horizontal="center"/>
    </xf>
    <xf numFmtId="169" fontId="3" fillId="0" borderId="1" xfId="3" applyNumberFormat="1" applyFont="1" applyBorder="1" applyAlignment="1">
      <alignment horizontal="center"/>
    </xf>
    <xf numFmtId="0" fontId="3" fillId="0" borderId="1" xfId="3" applyNumberFormat="1" applyFont="1" applyBorder="1" applyAlignment="1">
      <alignment horizontal="center" vertical="center"/>
    </xf>
    <xf numFmtId="0" fontId="4" fillId="0" borderId="1" xfId="3" applyNumberFormat="1" applyFont="1" applyBorder="1" applyAlignment="1">
      <alignment horizontal="center" wrapText="1"/>
    </xf>
    <xf numFmtId="0" fontId="4" fillId="0" borderId="1" xfId="3" applyNumberFormat="1" applyFont="1" applyBorder="1" applyAlignment="1">
      <alignment horizontal="center" vertical="center" wrapText="1"/>
    </xf>
    <xf numFmtId="0" fontId="5" fillId="0" borderId="1" xfId="3" applyNumberFormat="1" applyFont="1" applyBorder="1" applyAlignment="1">
      <alignment horizontal="center"/>
    </xf>
    <xf numFmtId="0" fontId="5" fillId="0" borderId="1" xfId="3" applyNumberFormat="1" applyFont="1" applyBorder="1" applyAlignment="1">
      <alignment horizontal="center" vertical="center"/>
    </xf>
    <xf numFmtId="0" fontId="6" fillId="0" borderId="1" xfId="3" applyNumberFormat="1" applyFont="1" applyBorder="1" applyAlignment="1">
      <alignment horizontal="center"/>
    </xf>
    <xf numFmtId="0" fontId="6" fillId="0" borderId="1" xfId="3" applyNumberFormat="1" applyFont="1" applyBorder="1" applyAlignment="1">
      <alignment horizontal="center" vertical="center"/>
    </xf>
    <xf numFmtId="0" fontId="6" fillId="0" borderId="2" xfId="3" applyNumberFormat="1" applyFont="1" applyBorder="1" applyAlignment="1">
      <alignment horizontal="left"/>
    </xf>
    <xf numFmtId="0" fontId="6" fillId="0" borderId="3" xfId="3" applyNumberFormat="1" applyFont="1" applyBorder="1" applyAlignment="1">
      <alignment horizontal="left"/>
    </xf>
    <xf numFmtId="0" fontId="6" fillId="0" borderId="3" xfId="3" applyNumberFormat="1" applyFont="1" applyBorder="1" applyAlignment="1">
      <alignment horizontal="center"/>
    </xf>
    <xf numFmtId="0" fontId="6" fillId="0" borderId="3" xfId="3" applyNumberFormat="1" applyFont="1" applyBorder="1" applyAlignment="1">
      <alignment horizontal="center" vertical="center"/>
    </xf>
    <xf numFmtId="0" fontId="4" fillId="0" borderId="1" xfId="3" applyNumberFormat="1" applyFont="1" applyBorder="1" applyAlignment="1">
      <alignment horizontal="left"/>
    </xf>
    <xf numFmtId="0" fontId="1" fillId="0" borderId="0" xfId="6" applyFont="1" applyAlignment="1">
      <alignment horizontal="center"/>
    </xf>
    <xf numFmtId="0" fontId="16" fillId="0" borderId="0" xfId="3" applyFont="1" applyAlignment="1">
      <alignment horizontal="left"/>
    </xf>
    <xf numFmtId="0" fontId="4" fillId="0" borderId="4" xfId="3" applyNumberFormat="1" applyFont="1" applyBorder="1" applyAlignment="1">
      <alignment horizontal="center" vertical="center" wrapText="1"/>
    </xf>
    <xf numFmtId="0" fontId="4" fillId="0" borderId="5" xfId="3" applyNumberFormat="1" applyFont="1" applyBorder="1" applyAlignment="1">
      <alignment horizontal="center" vertical="center" wrapText="1"/>
    </xf>
    <xf numFmtId="0" fontId="4" fillId="0" borderId="6" xfId="3" applyNumberFormat="1" applyFont="1" applyBorder="1" applyAlignment="1">
      <alignment horizontal="center" vertical="center" wrapText="1"/>
    </xf>
    <xf numFmtId="0" fontId="4" fillId="0" borderId="7" xfId="3" applyNumberFormat="1" applyFont="1" applyBorder="1" applyAlignment="1">
      <alignment horizontal="center" vertical="center" wrapText="1"/>
    </xf>
  </cellXfs>
  <cellStyles count="10">
    <cellStyle name="Обычный" xfId="0" builtinId="0"/>
    <cellStyle name="Обычный 2" xfId="4"/>
    <cellStyle name="Обычный 3" xfId="5"/>
    <cellStyle name="Обычный 4" xfId="6"/>
    <cellStyle name="Обычный 5" xfId="7"/>
    <cellStyle name="Обычный 6" xfId="1"/>
    <cellStyle name="Обычный 7" xfId="8"/>
    <cellStyle name="Обычный 8" xfId="3"/>
    <cellStyle name="常规 2" xfId="9"/>
    <cellStyle name="常规 6" xfId="2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jpe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10</xdr:row>
      <xdr:rowOff>66675</xdr:rowOff>
    </xdr:from>
    <xdr:to>
      <xdr:col>0</xdr:col>
      <xdr:colOff>1047750</xdr:colOff>
      <xdr:row>10</xdr:row>
      <xdr:rowOff>590550</xdr:rowOff>
    </xdr:to>
    <xdr:pic>
      <xdr:nvPicPr>
        <xdr:cNvPr id="7" name="图片34" descr="rId7"/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>
        <a:xfrm>
          <a:off x="495300" y="3451860"/>
          <a:ext cx="55245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352425</xdr:colOff>
      <xdr:row>13</xdr:row>
      <xdr:rowOff>19050</xdr:rowOff>
    </xdr:from>
    <xdr:to>
      <xdr:col>0</xdr:col>
      <xdr:colOff>1009650</xdr:colOff>
      <xdr:row>13</xdr:row>
      <xdr:rowOff>561975</xdr:rowOff>
    </xdr:to>
    <xdr:pic>
      <xdr:nvPicPr>
        <xdr:cNvPr id="4127" name="Рисунок 4" descr="rId1"/>
        <xdr:cNvPicPr/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>
        <a:xfrm>
          <a:off x="352425" y="5433060"/>
          <a:ext cx="657225" cy="542925"/>
        </a:xfrm>
        <a:prstGeom prst="rect">
          <a:avLst/>
        </a:prstGeom>
        <a:noFill/>
        <a:ln w="9525">
          <a:noFill/>
          <a:miter/>
        </a:ln>
      </xdr:spPr>
    </xdr:pic>
    <xdr:clientData/>
  </xdr:twoCellAnchor>
  <xdr:twoCellAnchor editAs="oneCell">
    <xdr:from>
      <xdr:col>0</xdr:col>
      <xdr:colOff>209550</xdr:colOff>
      <xdr:row>16</xdr:row>
      <xdr:rowOff>47625</xdr:rowOff>
    </xdr:from>
    <xdr:to>
      <xdr:col>0</xdr:col>
      <xdr:colOff>1085850</xdr:colOff>
      <xdr:row>16</xdr:row>
      <xdr:rowOff>419100</xdr:rowOff>
    </xdr:to>
    <xdr:pic>
      <xdr:nvPicPr>
        <xdr:cNvPr id="4124" name="Picture 4511" descr="rId18"/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>
        <a:xfrm>
          <a:off x="209550" y="7976235"/>
          <a:ext cx="876300" cy="371475"/>
        </a:xfrm>
        <a:prstGeom prst="rect">
          <a:avLst/>
        </a:prstGeom>
        <a:noFill/>
        <a:ln w="9525">
          <a:noFill/>
          <a:miter/>
        </a:ln>
      </xdr:spPr>
    </xdr:pic>
    <xdr:clientData/>
  </xdr:twoCellAnchor>
  <xdr:twoCellAnchor>
    <xdr:from>
      <xdr:col>0</xdr:col>
      <xdr:colOff>205740</xdr:colOff>
      <xdr:row>16</xdr:row>
      <xdr:rowOff>215900</xdr:rowOff>
    </xdr:from>
    <xdr:to>
      <xdr:col>0</xdr:col>
      <xdr:colOff>1037590</xdr:colOff>
      <xdr:row>16</xdr:row>
      <xdr:rowOff>0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 rot="16200000">
          <a:off x="621030" y="7728585"/>
          <a:ext cx="635" cy="831850"/>
        </a:xfrm>
        <a:prstGeom prst="rect">
          <a:avLst/>
        </a:prstGeom>
        <a:noFill/>
        <a:ln w="9525">
          <a:noFill/>
          <a:miter/>
        </a:ln>
      </xdr:spPr>
    </xdr:pic>
    <xdr:clientData/>
  </xdr:twoCellAnchor>
  <xdr:twoCellAnchor editAs="oneCell">
    <xdr:from>
      <xdr:col>0</xdr:col>
      <xdr:colOff>48895</xdr:colOff>
      <xdr:row>12</xdr:row>
      <xdr:rowOff>19050</xdr:rowOff>
    </xdr:from>
    <xdr:to>
      <xdr:col>0</xdr:col>
      <xdr:colOff>1096645</xdr:colOff>
      <xdr:row>12</xdr:row>
      <xdr:rowOff>542925</xdr:rowOff>
    </xdr:to>
    <xdr:pic>
      <xdr:nvPicPr>
        <xdr:cNvPr id="9" name="Рисунок 2" descr="rId3"/>
        <xdr:cNvPicPr>
          <a:picLocks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>
        <a:xfrm>
          <a:off x="48895" y="4756785"/>
          <a:ext cx="1047750" cy="523875"/>
        </a:xfrm>
        <a:prstGeom prst="rect">
          <a:avLst/>
        </a:prstGeom>
        <a:noFill/>
      </xdr:spPr>
    </xdr:pic>
    <xdr:clientData/>
  </xdr:twoCellAnchor>
  <xdr:twoCellAnchor>
    <xdr:from>
      <xdr:col>0</xdr:col>
      <xdr:colOff>66675</xdr:colOff>
      <xdr:row>14</xdr:row>
      <xdr:rowOff>90170</xdr:rowOff>
    </xdr:from>
    <xdr:to>
      <xdr:col>0</xdr:col>
      <xdr:colOff>1191260</xdr:colOff>
      <xdr:row>14</xdr:row>
      <xdr:rowOff>494665</xdr:rowOff>
    </xdr:to>
    <xdr:pic>
      <xdr:nvPicPr>
        <xdr:cNvPr id="28" name="图片 27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6675" y="6342380"/>
          <a:ext cx="1124585" cy="404495"/>
        </a:xfrm>
        <a:prstGeom prst="rect">
          <a:avLst/>
        </a:prstGeom>
        <a:noFill/>
        <a:ln w="9525">
          <a:noFill/>
          <a:miter/>
        </a:ln>
      </xdr:spPr>
    </xdr:pic>
    <xdr:clientData/>
  </xdr:twoCellAnchor>
  <xdr:twoCellAnchor editAs="oneCell">
    <xdr:from>
      <xdr:col>0</xdr:col>
      <xdr:colOff>266700</xdr:colOff>
      <xdr:row>15</xdr:row>
      <xdr:rowOff>8890</xdr:rowOff>
    </xdr:from>
    <xdr:to>
      <xdr:col>0</xdr:col>
      <xdr:colOff>991235</xdr:colOff>
      <xdr:row>15</xdr:row>
      <xdr:rowOff>790575</xdr:rowOff>
    </xdr:to>
    <xdr:pic>
      <xdr:nvPicPr>
        <xdr:cNvPr id="29" name="Picture 4"/>
        <xdr:cNvPicPr>
          <a:picLocks noChangeAspect="1"/>
        </xdr:cNvPicPr>
      </xdr:nvPicPr>
      <xdr:blipFill>
        <a:blip xmlns:r="http://schemas.openxmlformats.org/officeDocument/2006/relationships" r:embed="rId7" cstate="print">
          <a:lum/>
        </a:blip>
        <a:stretch>
          <a:fillRect/>
        </a:stretch>
      </xdr:blipFill>
      <xdr:spPr>
        <a:xfrm>
          <a:off x="266700" y="7099300"/>
          <a:ext cx="724535" cy="781685"/>
        </a:xfrm>
        <a:prstGeom prst="rect">
          <a:avLst/>
        </a:prstGeom>
        <a:noFill/>
        <a:ln w="9525">
          <a:noFill/>
          <a:miter/>
        </a:ln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1047750</xdr:colOff>
      <xdr:row>11</xdr:row>
      <xdr:rowOff>523875</xdr:rowOff>
    </xdr:to>
    <xdr:pic>
      <xdr:nvPicPr>
        <xdr:cNvPr id="2" name="Рисунок 2" descr="rId3"/>
        <xdr:cNvPicPr>
          <a:picLocks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>
        <a:xfrm>
          <a:off x="0" y="4061460"/>
          <a:ext cx="1047750" cy="523875"/>
        </a:xfrm>
        <a:prstGeom prst="rect">
          <a:avLst/>
        </a:prstGeom>
        <a:noFill/>
      </xdr:spPr>
    </xdr:pic>
    <xdr:clientData/>
  </xdr:twoCellAnchor>
  <xdr:twoCellAnchor>
    <xdr:from>
      <xdr:col>12</xdr:col>
      <xdr:colOff>85725</xdr:colOff>
      <xdr:row>16</xdr:row>
      <xdr:rowOff>142875</xdr:rowOff>
    </xdr:from>
    <xdr:to>
      <xdr:col>15</xdr:col>
      <xdr:colOff>177800</xdr:colOff>
      <xdr:row>19</xdr:row>
      <xdr:rowOff>37465</xdr:rowOff>
    </xdr:to>
    <xdr:pic>
      <xdr:nvPicPr>
        <xdr:cNvPr id="4" name="图片 3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611100" y="8071485"/>
          <a:ext cx="1892300" cy="101854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12</xdr:col>
      <xdr:colOff>104775</xdr:colOff>
      <xdr:row>15</xdr:row>
      <xdr:rowOff>175260</xdr:rowOff>
    </xdr:from>
    <xdr:to>
      <xdr:col>15</xdr:col>
      <xdr:colOff>76200</xdr:colOff>
      <xdr:row>16</xdr:row>
      <xdr:rowOff>104775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630150" y="7265670"/>
          <a:ext cx="1771650" cy="7677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12</xdr:col>
      <xdr:colOff>57150</xdr:colOff>
      <xdr:row>13</xdr:row>
      <xdr:rowOff>74930</xdr:rowOff>
    </xdr:from>
    <xdr:to>
      <xdr:col>14</xdr:col>
      <xdr:colOff>200025</xdr:colOff>
      <xdr:row>13</xdr:row>
      <xdr:rowOff>819150</xdr:rowOff>
    </xdr:to>
    <xdr:pic>
      <xdr:nvPicPr>
        <xdr:cNvPr id="6" name="图片 5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82525" y="5488940"/>
          <a:ext cx="1343025" cy="7442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12</xdr:col>
      <xdr:colOff>60960</xdr:colOff>
      <xdr:row>14</xdr:row>
      <xdr:rowOff>95250</xdr:rowOff>
    </xdr:from>
    <xdr:to>
      <xdr:col>15</xdr:col>
      <xdr:colOff>136525</xdr:colOff>
      <xdr:row>15</xdr:row>
      <xdr:rowOff>69850</xdr:rowOff>
    </xdr:to>
    <xdr:pic>
      <xdr:nvPicPr>
        <xdr:cNvPr id="10" name="图片 9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 rot="16200000">
          <a:off x="13117830" y="5815965"/>
          <a:ext cx="812800" cy="187579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12</xdr:col>
      <xdr:colOff>114300</xdr:colOff>
      <xdr:row>12</xdr:row>
      <xdr:rowOff>56515</xdr:rowOff>
    </xdr:from>
    <xdr:to>
      <xdr:col>14</xdr:col>
      <xdr:colOff>299085</xdr:colOff>
      <xdr:row>13</xdr:row>
      <xdr:rowOff>4445</xdr:rowOff>
    </xdr:to>
    <xdr:pic>
      <xdr:nvPicPr>
        <xdr:cNvPr id="11" name="图片 10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639675" y="4794250"/>
          <a:ext cx="1384935" cy="62420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12</xdr:col>
      <xdr:colOff>85725</xdr:colOff>
      <xdr:row>11</xdr:row>
      <xdr:rowOff>78105</xdr:rowOff>
    </xdr:from>
    <xdr:to>
      <xdr:col>14</xdr:col>
      <xdr:colOff>396875</xdr:colOff>
      <xdr:row>11</xdr:row>
      <xdr:rowOff>619125</xdr:rowOff>
    </xdr:to>
    <xdr:pic>
      <xdr:nvPicPr>
        <xdr:cNvPr id="12" name="图片 11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11100" y="4139565"/>
          <a:ext cx="1511300" cy="54102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12</xdr:col>
      <xdr:colOff>19050</xdr:colOff>
      <xdr:row>10</xdr:row>
      <xdr:rowOff>3175</xdr:rowOff>
    </xdr:from>
    <xdr:to>
      <xdr:col>14</xdr:col>
      <xdr:colOff>386715</xdr:colOff>
      <xdr:row>11</xdr:row>
      <xdr:rowOff>47625</xdr:rowOff>
    </xdr:to>
    <xdr:pic>
      <xdr:nvPicPr>
        <xdr:cNvPr id="13" name="图片 12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2544425" y="3388360"/>
          <a:ext cx="1567815" cy="7207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333375</xdr:colOff>
      <xdr:row>19</xdr:row>
      <xdr:rowOff>47625</xdr:rowOff>
    </xdr:from>
    <xdr:to>
      <xdr:col>1</xdr:col>
      <xdr:colOff>0</xdr:colOff>
      <xdr:row>21</xdr:row>
      <xdr:rowOff>38100</xdr:rowOff>
    </xdr:to>
    <xdr:pic>
      <xdr:nvPicPr>
        <xdr:cNvPr id="3" name="Picture 4511" descr="rId18"/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>
        <a:xfrm>
          <a:off x="333375" y="9100185"/>
          <a:ext cx="876300" cy="371475"/>
        </a:xfrm>
        <a:prstGeom prst="rect">
          <a:avLst/>
        </a:prstGeom>
        <a:noFill/>
        <a:ln w="9525">
          <a:noFill/>
          <a:miter/>
        </a:ln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32"/>
  <sheetViews>
    <sheetView tabSelected="1" topLeftCell="C1" workbookViewId="0">
      <selection activeCell="E24" sqref="E24"/>
    </sheetView>
  </sheetViews>
  <sheetFormatPr defaultColWidth="9" defaultRowHeight="15"/>
  <cols>
    <col min="1" max="1" width="18.140625" customWidth="1"/>
    <col min="2" max="2" width="21.5703125" customWidth="1"/>
    <col min="3" max="3" width="31.140625" customWidth="1"/>
    <col min="4" max="4" width="13.42578125" customWidth="1"/>
    <col min="5" max="5" width="9.42578125" style="3" customWidth="1"/>
    <col min="6" max="7" width="7.5703125" style="4" customWidth="1"/>
    <col min="8" max="8" width="9" customWidth="1"/>
    <col min="9" max="9" width="8.5703125" style="5" customWidth="1"/>
    <col min="10" max="10" width="11.28515625" style="6" customWidth="1"/>
    <col min="11" max="11" width="15.140625" style="5" customWidth="1"/>
    <col min="12" max="12" width="9.7109375" style="7"/>
  </cols>
  <sheetData>
    <row r="1" spans="1:15" ht="23.1" customHeight="1">
      <c r="A1" s="58" t="s">
        <v>13</v>
      </c>
      <c r="B1" s="58"/>
      <c r="C1" s="58"/>
      <c r="D1" s="58"/>
      <c r="E1" s="58"/>
      <c r="F1" s="58"/>
      <c r="G1" s="59"/>
      <c r="H1" s="59"/>
      <c r="I1" s="58"/>
      <c r="J1" s="58"/>
      <c r="K1" s="58"/>
      <c r="L1" s="60"/>
    </row>
    <row r="2" spans="1:15" ht="23.1" customHeight="1">
      <c r="A2" s="61" t="s">
        <v>0</v>
      </c>
      <c r="B2" s="61"/>
      <c r="C2" s="61"/>
      <c r="D2" s="61"/>
      <c r="E2" s="61"/>
      <c r="F2" s="61"/>
      <c r="G2" s="61"/>
      <c r="H2" s="61"/>
      <c r="I2" s="61"/>
      <c r="J2" s="61"/>
      <c r="K2" s="61"/>
      <c r="L2" s="62"/>
    </row>
    <row r="3" spans="1:15" ht="23.1" customHeight="1">
      <c r="A3" s="63" t="s">
        <v>14</v>
      </c>
      <c r="B3" s="63"/>
      <c r="C3" s="63"/>
      <c r="D3" s="63"/>
      <c r="E3" s="63"/>
      <c r="F3" s="63"/>
      <c r="G3" s="63"/>
      <c r="H3" s="63"/>
      <c r="I3" s="63"/>
      <c r="J3" s="63"/>
      <c r="K3" s="63"/>
      <c r="L3" s="64"/>
    </row>
    <row r="4" spans="1:15" ht="23.1" customHeight="1">
      <c r="A4" s="65" t="s">
        <v>15</v>
      </c>
      <c r="B4" s="65"/>
      <c r="C4" s="65"/>
      <c r="D4" s="65"/>
      <c r="E4" s="65"/>
      <c r="F4" s="65"/>
      <c r="G4" s="65"/>
      <c r="H4" s="65"/>
      <c r="I4" s="65"/>
      <c r="J4" s="65"/>
      <c r="K4" s="65"/>
      <c r="L4" s="66"/>
    </row>
    <row r="5" spans="1:15" ht="23.1" customHeight="1">
      <c r="A5" s="8"/>
      <c r="B5" s="9"/>
      <c r="C5" s="9"/>
      <c r="D5" s="9"/>
      <c r="E5" s="9"/>
      <c r="F5" s="9"/>
      <c r="G5" s="9"/>
      <c r="H5" s="9"/>
      <c r="I5" s="9"/>
      <c r="J5" s="9"/>
      <c r="K5" s="9"/>
      <c r="L5" s="46"/>
    </row>
    <row r="6" spans="1:15" ht="23.1" customHeight="1">
      <c r="A6" s="67" t="s">
        <v>16</v>
      </c>
      <c r="B6" s="68"/>
      <c r="C6" s="68"/>
      <c r="D6" s="68"/>
      <c r="E6" s="68"/>
      <c r="F6" s="68"/>
      <c r="G6" s="68"/>
      <c r="H6" s="68"/>
      <c r="I6" s="68"/>
      <c r="J6" s="69"/>
      <c r="K6" s="68"/>
      <c r="L6" s="70"/>
    </row>
    <row r="7" spans="1:15" ht="23.1" customHeight="1">
      <c r="A7" s="71" t="s">
        <v>17</v>
      </c>
      <c r="B7" s="71"/>
      <c r="C7" s="71"/>
      <c r="D7" s="71"/>
      <c r="E7" s="74" t="s">
        <v>18</v>
      </c>
      <c r="F7" s="75"/>
      <c r="G7" s="75"/>
      <c r="H7" s="75"/>
      <c r="I7" s="75"/>
      <c r="J7" s="75"/>
      <c r="K7" s="75"/>
      <c r="L7" s="75"/>
    </row>
    <row r="8" spans="1:15" ht="23.1" customHeight="1">
      <c r="A8" s="71" t="s">
        <v>19</v>
      </c>
      <c r="B8" s="71"/>
      <c r="C8" s="71"/>
      <c r="D8" s="71"/>
      <c r="E8" s="76"/>
      <c r="F8" s="77"/>
      <c r="G8" s="77"/>
      <c r="H8" s="77"/>
      <c r="I8" s="77"/>
      <c r="J8" s="77"/>
      <c r="K8" s="77"/>
      <c r="L8" s="77"/>
    </row>
    <row r="9" spans="1:15" s="1" customFormat="1" ht="48.75" customHeight="1">
      <c r="A9" s="10" t="s">
        <v>20</v>
      </c>
      <c r="B9" s="11" t="s">
        <v>21</v>
      </c>
      <c r="C9" s="12" t="s">
        <v>22</v>
      </c>
      <c r="D9" s="12" t="s">
        <v>23</v>
      </c>
      <c r="E9" s="12" t="s">
        <v>24</v>
      </c>
      <c r="F9" s="13" t="s">
        <v>25</v>
      </c>
      <c r="G9" s="13" t="s">
        <v>26</v>
      </c>
      <c r="H9" s="11" t="s">
        <v>27</v>
      </c>
      <c r="I9" s="11" t="s">
        <v>28</v>
      </c>
      <c r="J9" s="11" t="s">
        <v>29</v>
      </c>
      <c r="K9" s="11" t="s">
        <v>30</v>
      </c>
      <c r="L9" s="47" t="s">
        <v>31</v>
      </c>
    </row>
    <row r="10" spans="1:15" s="1" customFormat="1" ht="33" customHeight="1">
      <c r="A10" s="11" t="s">
        <v>32</v>
      </c>
      <c r="B10" s="11" t="s">
        <v>33</v>
      </c>
      <c r="C10" s="14" t="s">
        <v>34</v>
      </c>
      <c r="D10" s="15" t="s">
        <v>35</v>
      </c>
      <c r="E10" s="15" t="s">
        <v>36</v>
      </c>
      <c r="F10" s="16" t="s">
        <v>37</v>
      </c>
      <c r="G10" s="16" t="s">
        <v>38</v>
      </c>
      <c r="H10" s="15" t="s">
        <v>39</v>
      </c>
      <c r="I10" s="15" t="s">
        <v>40</v>
      </c>
      <c r="J10" s="15" t="s">
        <v>41</v>
      </c>
      <c r="K10" s="15" t="s">
        <v>42</v>
      </c>
      <c r="L10" s="48" t="s">
        <v>43</v>
      </c>
      <c r="M10" s="72" t="s">
        <v>44</v>
      </c>
      <c r="N10" s="72"/>
      <c r="O10" s="72"/>
    </row>
    <row r="11" spans="1:15" ht="53.25" customHeight="1">
      <c r="A11" s="17"/>
      <c r="B11" s="18" t="s">
        <v>45</v>
      </c>
      <c r="C11" s="19" t="s">
        <v>2</v>
      </c>
      <c r="D11" s="20">
        <v>15</v>
      </c>
      <c r="E11" s="21">
        <v>60</v>
      </c>
      <c r="F11" s="22">
        <v>18</v>
      </c>
      <c r="G11" s="23">
        <v>19</v>
      </c>
      <c r="H11" s="24">
        <v>4</v>
      </c>
      <c r="I11" s="24">
        <v>270</v>
      </c>
      <c r="J11" s="49">
        <v>285</v>
      </c>
      <c r="K11" s="20" t="s">
        <v>46</v>
      </c>
      <c r="L11" s="20">
        <v>0.39</v>
      </c>
      <c r="M11" s="50"/>
    </row>
    <row r="12" spans="1:15" ht="53.25" customHeight="1">
      <c r="A12" s="25"/>
      <c r="B12" s="26" t="s">
        <v>47</v>
      </c>
      <c r="C12" s="19" t="s">
        <v>4</v>
      </c>
      <c r="D12" s="20">
        <v>15</v>
      </c>
      <c r="E12" s="21">
        <v>60</v>
      </c>
      <c r="F12" s="22">
        <v>10</v>
      </c>
      <c r="G12" s="23">
        <v>11</v>
      </c>
      <c r="H12" s="24">
        <v>4</v>
      </c>
      <c r="I12" s="24">
        <v>150</v>
      </c>
      <c r="J12" s="49">
        <v>165</v>
      </c>
      <c r="K12" s="20" t="s">
        <v>46</v>
      </c>
      <c r="L12" s="20">
        <v>0.39</v>
      </c>
    </row>
    <row r="13" spans="1:15" ht="53.25" customHeight="1">
      <c r="A13" s="25"/>
      <c r="B13" s="26" t="s">
        <v>48</v>
      </c>
      <c r="C13" s="19" t="s">
        <v>3</v>
      </c>
      <c r="D13" s="20">
        <v>60</v>
      </c>
      <c r="E13" s="21">
        <v>240</v>
      </c>
      <c r="F13" s="22">
        <v>10</v>
      </c>
      <c r="G13" s="22">
        <v>11</v>
      </c>
      <c r="H13" s="24">
        <v>4</v>
      </c>
      <c r="I13" s="24">
        <v>600</v>
      </c>
      <c r="J13" s="49">
        <v>660</v>
      </c>
      <c r="K13" s="20" t="s">
        <v>49</v>
      </c>
      <c r="L13" s="20">
        <v>1.57</v>
      </c>
    </row>
    <row r="14" spans="1:15" ht="66" customHeight="1">
      <c r="A14" s="27"/>
      <c r="B14" s="24" t="s">
        <v>6</v>
      </c>
      <c r="C14" s="21" t="s">
        <v>5</v>
      </c>
      <c r="D14" s="20">
        <v>10</v>
      </c>
      <c r="E14" s="21">
        <v>200</v>
      </c>
      <c r="F14" s="28">
        <v>12</v>
      </c>
      <c r="G14" s="28">
        <v>12.5</v>
      </c>
      <c r="H14" s="28">
        <v>20</v>
      </c>
      <c r="I14" s="24">
        <f t="shared" ref="I14:I17" si="0">MAX(D14*F14)</f>
        <v>120</v>
      </c>
      <c r="J14" s="49">
        <f t="shared" ref="J14:J17" si="1">MAX(D14*G14)</f>
        <v>125</v>
      </c>
      <c r="K14" s="51" t="s">
        <v>50</v>
      </c>
      <c r="L14" s="20">
        <v>0.27</v>
      </c>
    </row>
    <row r="15" spans="1:15" ht="66" customHeight="1">
      <c r="A15" s="29"/>
      <c r="B15" s="24" t="s">
        <v>8</v>
      </c>
      <c r="C15" s="30" t="s">
        <v>7</v>
      </c>
      <c r="D15" s="31">
        <v>100</v>
      </c>
      <c r="E15" s="30">
        <v>1000</v>
      </c>
      <c r="F15" s="32">
        <v>21.2</v>
      </c>
      <c r="G15" s="32">
        <v>21.4</v>
      </c>
      <c r="H15" s="32">
        <v>10</v>
      </c>
      <c r="I15" s="52">
        <f t="shared" si="0"/>
        <v>2120</v>
      </c>
      <c r="J15" s="53">
        <f t="shared" si="1"/>
        <v>2140</v>
      </c>
      <c r="K15" s="54" t="s">
        <v>51</v>
      </c>
      <c r="L15" s="31">
        <v>1.38</v>
      </c>
    </row>
    <row r="16" spans="1:15" ht="66" customHeight="1">
      <c r="A16" s="27"/>
      <c r="B16" s="24" t="s">
        <v>10</v>
      </c>
      <c r="C16" s="21" t="s">
        <v>9</v>
      </c>
      <c r="D16" s="20">
        <v>65</v>
      </c>
      <c r="E16" s="21">
        <v>650</v>
      </c>
      <c r="F16" s="28">
        <v>32.200000000000003</v>
      </c>
      <c r="G16" s="28">
        <v>33</v>
      </c>
      <c r="H16" s="28">
        <v>10</v>
      </c>
      <c r="I16" s="24">
        <f t="shared" si="0"/>
        <v>2093</v>
      </c>
      <c r="J16" s="49">
        <f t="shared" si="1"/>
        <v>2145</v>
      </c>
      <c r="K16" s="51" t="s">
        <v>52</v>
      </c>
      <c r="L16" s="20">
        <v>6</v>
      </c>
    </row>
    <row r="17" spans="1:12" s="2" customFormat="1" ht="36.75" customHeight="1">
      <c r="A17" s="33"/>
      <c r="B17" s="24" t="s">
        <v>12</v>
      </c>
      <c r="C17" s="34" t="s">
        <v>11</v>
      </c>
      <c r="D17" s="35">
        <v>142</v>
      </c>
      <c r="E17" s="36">
        <v>2840</v>
      </c>
      <c r="F17" s="37">
        <v>28</v>
      </c>
      <c r="G17" s="37">
        <v>30</v>
      </c>
      <c r="H17" s="37">
        <v>20</v>
      </c>
      <c r="I17" s="24">
        <f t="shared" si="0"/>
        <v>3976</v>
      </c>
      <c r="J17" s="49">
        <f t="shared" si="1"/>
        <v>4260</v>
      </c>
      <c r="K17" s="55" t="s">
        <v>53</v>
      </c>
      <c r="L17" s="55">
        <v>16.399999999999999</v>
      </c>
    </row>
    <row r="18" spans="1:12" s="2" customFormat="1" ht="36.75" customHeight="1">
      <c r="A18" s="33"/>
      <c r="B18" s="38"/>
      <c r="C18" s="39"/>
      <c r="D18" s="40" t="s">
        <v>54</v>
      </c>
      <c r="E18" s="12">
        <v>5050</v>
      </c>
      <c r="F18" s="11"/>
      <c r="G18" s="11"/>
      <c r="H18" s="11"/>
      <c r="I18" s="38">
        <v>9329</v>
      </c>
      <c r="J18" s="56">
        <v>9780</v>
      </c>
      <c r="K18" s="57"/>
      <c r="L18" s="57">
        <v>26.4</v>
      </c>
    </row>
    <row r="19" spans="1:12">
      <c r="A19" s="73"/>
      <c r="B19" s="73"/>
      <c r="C19" s="73"/>
      <c r="D19" s="42"/>
    </row>
    <row r="20" spans="1:12">
      <c r="A20" s="41" t="s">
        <v>1</v>
      </c>
      <c r="B20" s="43" t="s">
        <v>55</v>
      </c>
      <c r="C20" s="41"/>
    </row>
    <row r="21" spans="1:12">
      <c r="B21" s="43"/>
      <c r="C21" s="44" t="s">
        <v>56</v>
      </c>
    </row>
    <row r="22" spans="1:12">
      <c r="B22" s="45"/>
    </row>
    <row r="23" spans="1:12">
      <c r="B23" s="45"/>
    </row>
    <row r="24" spans="1:12">
      <c r="B24" s="45"/>
    </row>
    <row r="25" spans="1:12">
      <c r="B25" s="45"/>
    </row>
    <row r="26" spans="1:12">
      <c r="B26" s="45"/>
    </row>
    <row r="27" spans="1:12">
      <c r="B27" s="45"/>
    </row>
    <row r="28" spans="1:12">
      <c r="B28" s="45"/>
    </row>
    <row r="29" spans="1:12">
      <c r="B29" s="45"/>
    </row>
    <row r="30" spans="1:12">
      <c r="B30" s="45"/>
    </row>
    <row r="31" spans="1:12">
      <c r="B31" s="45"/>
    </row>
    <row r="32" spans="1:12">
      <c r="B32" s="45"/>
    </row>
  </sheetData>
  <mergeCells count="10">
    <mergeCell ref="A7:D7"/>
    <mergeCell ref="A8:D8"/>
    <mergeCell ref="M10:O10"/>
    <mergeCell ref="A19:C19"/>
    <mergeCell ref="E7:L8"/>
    <mergeCell ref="A1:L1"/>
    <mergeCell ref="A2:L2"/>
    <mergeCell ref="A3:L3"/>
    <mergeCell ref="A4:L4"/>
    <mergeCell ref="A6:L6"/>
  </mergeCells>
  <pageMargins left="0.70069444444444495" right="0.70069444444444495" top="0.75138888888888899" bottom="0.75138888888888899" header="0.297916666666667" footer="0.297916666666667"/>
  <pageSetup paperSize="9" scale="58" orientation="landscape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Пакинг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Konstantinov</dc:creator>
  <cp:lastModifiedBy>Serge</cp:lastModifiedBy>
  <cp:lastPrinted>2015-03-04T09:39:00Z</cp:lastPrinted>
  <dcterms:created xsi:type="dcterms:W3CDTF">2014-06-30T12:04:00Z</dcterms:created>
  <dcterms:modified xsi:type="dcterms:W3CDTF">2016-06-08T09:00:20Z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2052-10.1.0.5745</vt:lpwstr>
  </property>
</Properties>
</file>