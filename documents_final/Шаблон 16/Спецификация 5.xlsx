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21 век фурнитура\Китай\GUANGDONG SHUNTEX TRADING COMPANY\CAIU8445885 - спец. 5 (1600) заказ 17155\"/>
    </mc:Choice>
  </mc:AlternateContent>
  <bookViews>
    <workbookView xWindow="-108" yWindow="-108" windowWidth="23256" windowHeight="12576"/>
  </bookViews>
  <sheets>
    <sheet name="ПРоформа" sheetId="5" r:id="rId1"/>
  </sheets>
  <definedNames>
    <definedName name="_xlnm._FilterDatabase" localSheetId="0" hidden="1">ПРоформа!$A$3:$T$38</definedName>
    <definedName name="_xlnm.Print_Area" localSheetId="0">ПРоформа!$A$1:$N$38</definedName>
  </definedNames>
  <calcPr calcId="162913"/>
</workbook>
</file>

<file path=xl/calcChain.xml><?xml version="1.0" encoding="utf-8"?>
<calcChain xmlns="http://schemas.openxmlformats.org/spreadsheetml/2006/main">
  <c r="J36" i="5" l="1"/>
  <c r="G16" i="5"/>
  <c r="G18" i="5"/>
  <c r="J18" i="5" s="1"/>
  <c r="J32" i="5"/>
  <c r="J33" i="5"/>
  <c r="J34" i="5"/>
  <c r="J35" i="5"/>
  <c r="J37" i="5"/>
  <c r="L5" i="5"/>
  <c r="J5" i="5"/>
  <c r="L4" i="5"/>
  <c r="J4" i="5"/>
  <c r="L17" i="5"/>
  <c r="J21" i="5"/>
  <c r="L21" i="5"/>
  <c r="J28" i="5"/>
  <c r="J29" i="5"/>
  <c r="J30" i="5"/>
  <c r="J31" i="5"/>
  <c r="L31" i="5"/>
  <c r="L30" i="5"/>
  <c r="L29" i="5"/>
  <c r="L28" i="5"/>
  <c r="L27" i="5"/>
  <c r="J27" i="5"/>
  <c r="L26" i="5"/>
  <c r="J26" i="5"/>
  <c r="L25" i="5"/>
  <c r="J25" i="5"/>
  <c r="L24" i="5"/>
  <c r="J24" i="5"/>
  <c r="L23" i="5"/>
  <c r="J23" i="5"/>
  <c r="L22" i="5"/>
  <c r="J22" i="5"/>
  <c r="L20" i="5"/>
  <c r="J20" i="5"/>
  <c r="L12" i="5"/>
  <c r="J12" i="5"/>
  <c r="L11" i="5"/>
  <c r="J11" i="5"/>
  <c r="J6" i="5"/>
  <c r="J7" i="5"/>
  <c r="J8" i="5"/>
  <c r="J9" i="5"/>
  <c r="J10" i="5"/>
  <c r="J13" i="5"/>
  <c r="J14" i="5"/>
  <c r="J15" i="5"/>
  <c r="J19" i="5"/>
  <c r="L6" i="5"/>
  <c r="L7" i="5"/>
  <c r="L8" i="5"/>
  <c r="L9" i="5"/>
  <c r="L10" i="5"/>
  <c r="L13" i="5"/>
  <c r="L14" i="5"/>
  <c r="L19" i="5"/>
  <c r="L15" i="5"/>
  <c r="G38" i="5" l="1"/>
  <c r="L18" i="5"/>
  <c r="J17" i="5"/>
  <c r="J16" i="5"/>
  <c r="J38" i="5" s="1"/>
  <c r="L16" i="5"/>
  <c r="L38" i="5" s="1"/>
  <c r="N38" i="5" l="1"/>
  <c r="M38" i="5"/>
</calcChain>
</file>

<file path=xl/sharedStrings.xml><?xml version="1.0" encoding="utf-8"?>
<sst xmlns="http://schemas.openxmlformats.org/spreadsheetml/2006/main" count="195" uniqueCount="154">
  <si>
    <t>Description</t>
  </si>
  <si>
    <t>TOTAL</t>
  </si>
  <si>
    <r>
      <t>Tee nut with prongs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</rPr>
      <t>M6*16mm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</rPr>
      <t>steel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</rPr>
      <t>zinc</t>
    </r>
  </si>
  <si>
    <t>25109.200L</t>
    <phoneticPr fontId="6" type="noConversion"/>
  </si>
  <si>
    <t>25109.200R</t>
    <phoneticPr fontId="6" type="noConversion"/>
  </si>
  <si>
    <t>25109.300L</t>
    <phoneticPr fontId="6" type="noConversion"/>
  </si>
  <si>
    <t xml:space="preserve">25109.300R </t>
    <phoneticPr fontId="6" type="noConversion"/>
  </si>
  <si>
    <t>26014L</t>
    <phoneticPr fontId="6" type="noConversion"/>
  </si>
  <si>
    <t>26014R</t>
    <phoneticPr fontId="6" type="noConversion"/>
  </si>
  <si>
    <t>26906L</t>
    <phoneticPr fontId="6" type="noConversion"/>
  </si>
  <si>
    <t>26906R</t>
    <phoneticPr fontId="6" type="noConversion"/>
  </si>
  <si>
    <t>0610611</t>
  </si>
  <si>
    <t>0610613</t>
  </si>
  <si>
    <t>0610614</t>
  </si>
  <si>
    <t>0610615</t>
  </si>
  <si>
    <t>0306406</t>
  </si>
  <si>
    <t>0306408</t>
  </si>
  <si>
    <t>0306407</t>
  </si>
  <si>
    <t>0306409</t>
  </si>
  <si>
    <t>0907145</t>
  </si>
  <si>
    <t>0904168</t>
  </si>
  <si>
    <t>Wire basket,wire 4.7*4.7*2.5mm with soft closing concealed slide and fittings, cabinet width 200mm, left,</t>
    <phoneticPr fontId="6" type="noConversion"/>
  </si>
  <si>
    <t>Wire basket,wire 4.7*4.7*2.5mm with soft closing concealed slide and fittings, cabinet width 200mm, right</t>
    <phoneticPr fontId="6" type="noConversion"/>
  </si>
  <si>
    <t>Wire basket,wire 4.7*4.7*2.5mm with soft closing concealed slide and fittings, cabinet width 300mm, left,</t>
    <phoneticPr fontId="6" type="noConversion"/>
  </si>
  <si>
    <t>Wire basket,wire 4.7*4.7*2.5mm with soft closing concealed slide and fittings, cabinet width 300mm, right</t>
    <phoneticPr fontId="6" type="noConversion"/>
  </si>
  <si>
    <t>Adjustable sofa leg, D=30mm*100*0.6mm., steel, color:chrome</t>
    <phoneticPr fontId="6" type="noConversion"/>
  </si>
  <si>
    <t>11017</t>
    <phoneticPr fontId="6" type="noConversion"/>
  </si>
  <si>
    <t>15015</t>
    <phoneticPr fontId="6" type="noConversion"/>
  </si>
  <si>
    <t>Shelf support, 13*13mm, zinc alloy,nickel</t>
    <phoneticPr fontId="6" type="noConversion"/>
  </si>
  <si>
    <t>15019</t>
    <phoneticPr fontId="6" type="noConversion"/>
  </si>
  <si>
    <t>15020</t>
    <phoneticPr fontId="6" type="noConversion"/>
  </si>
  <si>
    <t>15024</t>
    <phoneticPr fontId="6" type="noConversion"/>
  </si>
  <si>
    <t>Shelf support, 5*8mm, zinc alloy,nickel</t>
    <phoneticPr fontId="6" type="noConversion"/>
  </si>
  <si>
    <t>0904174</t>
    <phoneticPr fontId="6" type="noConversion"/>
  </si>
  <si>
    <t>0904172</t>
    <phoneticPr fontId="6" type="noConversion"/>
  </si>
  <si>
    <t>0307290</t>
    <phoneticPr fontId="6" type="noConversion"/>
  </si>
  <si>
    <t>0307291</t>
  </si>
  <si>
    <t>0307287</t>
  </si>
  <si>
    <t>0307289</t>
  </si>
  <si>
    <t>0306405</t>
    <phoneticPr fontId="6" type="noConversion"/>
  </si>
  <si>
    <t>Shelf support, 5*7mm, zinc alloy,nickel</t>
    <phoneticPr fontId="6" type="noConversion"/>
  </si>
  <si>
    <t>0307292</t>
    <phoneticPr fontId="6" type="noConversion"/>
  </si>
  <si>
    <t>15025</t>
    <phoneticPr fontId="6" type="noConversion"/>
  </si>
  <si>
    <t>11017</t>
  </si>
  <si>
    <t>25205.600</t>
    <phoneticPr fontId="6" type="noConversion"/>
  </si>
  <si>
    <t>25205.800</t>
    <phoneticPr fontId="6" type="noConversion"/>
  </si>
  <si>
    <t>Worktop connector, 65mm,steel,zinc</t>
    <phoneticPr fontId="6" type="noConversion"/>
  </si>
  <si>
    <t>Sofa leg, 50*100mm, steel+aluminium, chrome+aluminium ixidated</t>
    <phoneticPr fontId="6" type="noConversion"/>
  </si>
  <si>
    <t>Sofa leg, 50*100mm, T=0.8mm, steel, Bronze</t>
  </si>
  <si>
    <t>Sofa leg, 50*100mm, T=0.8mm, steel, chrome</t>
    <phoneticPr fontId="6" type="noConversion"/>
  </si>
  <si>
    <t>Sofa leg, 50*100mm, T=0.8mm, steel, матт chrome</t>
    <phoneticPr fontId="6" type="noConversion"/>
  </si>
  <si>
    <t>0309218</t>
  </si>
  <si>
    <t>14028</t>
    <phoneticPr fontId="15" type="noConversion"/>
  </si>
  <si>
    <r>
      <t>Excentric cam,</t>
    </r>
    <r>
      <rPr>
        <sz val="12"/>
        <color indexed="8"/>
        <rFont val="宋体"/>
        <charset val="134"/>
      </rPr>
      <t>￠</t>
    </r>
    <r>
      <rPr>
        <sz val="12"/>
        <color indexed="8"/>
        <rFont val="Arial"/>
        <family val="2"/>
      </rPr>
      <t>15*11.4</t>
    </r>
    <r>
      <rPr>
        <sz val="12"/>
        <color indexed="8"/>
        <rFont val="宋体"/>
        <charset val="134"/>
      </rPr>
      <t>，</t>
    </r>
    <r>
      <rPr>
        <sz val="12"/>
        <color indexed="8"/>
        <rFont val="Arial"/>
        <family val="2"/>
      </rPr>
      <t>H=7.5,zinc alloy,Plated  zinc, 3.1G</t>
    </r>
    <phoneticPr fontId="15" type="noConversion"/>
  </si>
  <si>
    <t>0309219</t>
  </si>
  <si>
    <t>14017</t>
    <phoneticPr fontId="15" type="noConversion"/>
  </si>
  <si>
    <t>0309220</t>
  </si>
  <si>
    <r>
      <t>Excentric cam</t>
    </r>
    <r>
      <rPr>
        <sz val="11"/>
        <color indexed="8"/>
        <rFont val="宋体"/>
        <charset val="134"/>
      </rPr>
      <t>，</t>
    </r>
    <r>
      <rPr>
        <sz val="11"/>
        <color indexed="8"/>
        <rFont val="Arial"/>
        <family val="2"/>
      </rPr>
      <t>15*11.4mm, H=7.5</t>
    </r>
    <r>
      <rPr>
        <sz val="11"/>
        <color indexed="8"/>
        <rFont val="宋体"/>
        <charset val="134"/>
      </rPr>
      <t>，</t>
    </r>
    <r>
      <rPr>
        <sz val="11"/>
        <color indexed="8"/>
        <rFont val="Arial"/>
        <family val="2"/>
      </rPr>
      <t xml:space="preserve"> Zinc,3.5G</t>
    </r>
    <phoneticPr fontId="15" type="noConversion"/>
  </si>
  <si>
    <t>0610609</t>
  </si>
  <si>
    <t>25109.150L</t>
    <phoneticPr fontId="15" type="noConversion"/>
  </si>
  <si>
    <t>Wire basket, wire 4.7*2.5mm with soft closing concealed slide and fittings, cabinet width 150mm, left,</t>
    <phoneticPr fontId="15" type="noConversion"/>
  </si>
  <si>
    <t>0610610</t>
  </si>
  <si>
    <t>25109.150R</t>
    <phoneticPr fontId="15" type="noConversion"/>
  </si>
  <si>
    <t>Wire basket, wire 4.7*2.5mm with soft closing concealed slide and fittings, cabinet width 150mm, right</t>
    <phoneticPr fontId="15" type="noConversion"/>
  </si>
  <si>
    <t xml:space="preserve">нетто коробки </t>
    <phoneticPr fontId="6" type="noConversion"/>
  </si>
  <si>
    <t xml:space="preserve">бруто коробки </t>
    <phoneticPr fontId="6" type="noConversion"/>
  </si>
  <si>
    <t xml:space="preserve">размер коробки </t>
    <phoneticPr fontId="6" type="noConversion"/>
  </si>
  <si>
    <t xml:space="preserve">Фото </t>
  </si>
  <si>
    <t xml:space="preserve">Article </t>
    <phoneticPr fontId="2" type="noConversion"/>
  </si>
  <si>
    <t>Article Wright</t>
    <phoneticPr fontId="2" type="noConversion"/>
  </si>
  <si>
    <t xml:space="preserve">Наименование </t>
  </si>
  <si>
    <t>Кол-во</t>
  </si>
  <si>
    <t>Price (PCS/KIT)
(CNY)/Цена за шт/комп, юани</t>
  </si>
  <si>
    <t>Amount
(CNY)</t>
    <phoneticPr fontId="0" type="noConversion"/>
  </si>
  <si>
    <t>Qty/Ctn/кол-во в коробке</t>
  </si>
  <si>
    <t>Cartons  Qty/кол-во коробок</t>
  </si>
  <si>
    <t xml:space="preserve">N.W./вес нетто </t>
  </si>
  <si>
    <t>G.W./вес брутто</t>
  </si>
  <si>
    <t>APPENDIX to the Contract № SHUNTEX/21V-2025  dd 15.05.2025 / ПРИЛОЖЕНИЕ к Контракту № SHUNTEX/21V-2025 от 15.05.2025</t>
  </si>
  <si>
    <t xml:space="preserve">ORIGIN: CHINA / СТРАНА ПРОИСХОЖДЕНИЯ ТОВАРА: КИТАЙ </t>
  </si>
  <si>
    <t>TERMS OF PAYMENT: Prepayment of at least 5% before the product is manufactured, and a balance payment before shipment. /УСЛОВИЯ ОПЛАТЫ: Предоплата не менее 5% до изготовления товара, балансовый платеж перед отгрузкой.</t>
  </si>
  <si>
    <t>In case of non-delivery of the goods within 30 working days after receiving prepayment the Seller undertakes to return the advance payments within 30 calendar days/</t>
  </si>
  <si>
    <t>В случае непоставки товара в течение 30 рабочих дней после получения предоплаты Продавец обязуется вернуть  Покупателю авансовые платежи в течение 30 календарных дней.</t>
  </si>
  <si>
    <t xml:space="preserve"> </t>
  </si>
  <si>
    <t>SELLER: GUANGDONG SHUNTEX TRADING COMPANY</t>
  </si>
  <si>
    <t>BYUER: “TD 21 VEK” LLC</t>
  </si>
  <si>
    <t>Address: NO.2,CHUANGYEROAD,RONGGUI,SHUNDE,FOSHAN,GUANGDONG,CHINA</t>
  </si>
  <si>
    <t>141720, Moscow region, Dolgoprudny, microdistrict Paveltsevo, Novoe shosse str., 38, fl.1, of.14</t>
  </si>
  <si>
    <t>Bank: VTB BANK(PJSC) SHANGHAI BRANCH</t>
  </si>
  <si>
    <t>INN 5008058121</t>
  </si>
  <si>
    <t>Bank Address: OFFICE 2503-2505, SHANGHAI TOWER, 501 MIDDLE YINCHENG ROAD, SHANGHAI, CHINA 200120</t>
  </si>
  <si>
    <t>Bank: CENTRAL BRANCH OF VTB BANK (PJSC)</t>
  </si>
  <si>
    <t>SWIFT:   VTBRCNSH</t>
  </si>
  <si>
    <t>SWIFT:   VTBRRUM2MS2</t>
  </si>
  <si>
    <t>IBAN: '40807156400610011507</t>
  </si>
  <si>
    <t>Account for CNY: 40702156324490000069</t>
  </si>
  <si>
    <t>General  director: Pan Wanyun</t>
  </si>
  <si>
    <t xml:space="preserve">General  director: Rukin M. N. </t>
  </si>
  <si>
    <t>Бутылочница на ширину 150 мм с направляющими, метал, хром, левая</t>
  </si>
  <si>
    <t>Бутылочница на ширину 150 мм с направляющими, метал, хром, правая</t>
  </si>
  <si>
    <t>Бутылочница на ширину 200 мм с направляющими, метал, хром, левая</t>
  </si>
  <si>
    <t>Бутылочница на ширину 200 мм с направляющими, метал, хром, правая</t>
  </si>
  <si>
    <t>Бутылочница на ширину 300 мм с направляющими, метал, хром, левая</t>
  </si>
  <si>
    <t>Бутылочница на ширину 300 мм с направляющими, метал, хром, правая</t>
  </si>
  <si>
    <t>Подвес мебельный уничерсальный для шкафов, метал / пластик, белый</t>
  </si>
  <si>
    <t>Заглушка для подвеса мебельного, метал, хром</t>
  </si>
  <si>
    <t>Подвес мебельный лувый + правый для шкафов с крышками, метал/пластик, белый</t>
  </si>
  <si>
    <t>Стяжка для столешницы, размеры 35*150 мм, метал</t>
  </si>
  <si>
    <t>Эксцентриковая стяжка, размер 15*11,4*7,5 мм, облегченная, метал</t>
  </si>
  <si>
    <t>Шток для эксцентриковой стяжки с саморезом, размер 45 мм, метал/пластик</t>
  </si>
  <si>
    <t>Эксцентриковая стяжка, размер 15*11,4*7,5 мм, метал</t>
  </si>
  <si>
    <t>Ножка мебельная декоротивная D-30 мм, * 100 * 0,6 мм, метал, хром</t>
  </si>
  <si>
    <t>Ножка мебельная декоротивная D-50 мм, * 100 мм, метал, матовый хром/алюминий</t>
  </si>
  <si>
    <t>Ножка мебельная декоротивная D-50 мм, * 100 мм, метал, хром</t>
  </si>
  <si>
    <t>Ножка мебельная декоротивная D-50 мм, * 100 мм, метал, бронза</t>
  </si>
  <si>
    <t>Ножка мебельная декоротивная D-50 мм, * 100 мм, метал, матовый хром</t>
  </si>
  <si>
    <t>Полкодержатель 13*13 мм, металл, пикель</t>
  </si>
  <si>
    <t>Полкодержатель 5*7 мм, металл, пикель</t>
  </si>
  <si>
    <t>Полкодержатель 5*8 мм, металл, пикель</t>
  </si>
  <si>
    <t>Выдвижная сетка для кухни под пасуду с направляющими, на фасад 600 мм. Размеры 430*500*215 мм, метал, хром</t>
  </si>
  <si>
    <t>Выдвижная сетка для кухни под пасуду с направляющими, на фасад 800 мм. Размеры 430*700*215 мм, метал, хром</t>
  </si>
  <si>
    <t>Стяжка для столешницы, размеры 35*65 мм, метал</t>
  </si>
  <si>
    <t>Barrel caster, 50mm,PA,balck</t>
  </si>
  <si>
    <t>10031</t>
  </si>
  <si>
    <t>PP caster, 25mm,PP+steel, black</t>
  </si>
  <si>
    <t>PP caster, 30mm,PP+steel, black</t>
  </si>
  <si>
    <t>PP caster, 40mm,PP+steel, black</t>
  </si>
  <si>
    <t>13122</t>
  </si>
  <si>
    <t>Adjustable leg, 50*41.6*H42.3*M18mm, zinc alloy,nickel</t>
  </si>
  <si>
    <t>13123</t>
  </si>
  <si>
    <t>Adjustable leg, 32*32*40*49mm, steel, zinc</t>
    <phoneticPr fontId="6" type="noConversion"/>
  </si>
  <si>
    <t>DELIVERY NON LATER THAN 30 January  2026 / ПОСТАВКА ТОВАРА НЕ ПОЗДНЕЕ 30 Января 2026г.</t>
  </si>
  <si>
    <t>Колесо мебельное, d=50 мм</t>
  </si>
  <si>
    <t>Колесо мебельное, d=25 мм</t>
  </si>
  <si>
    <t>Колесо мебельное, d=30 мм</t>
  </si>
  <si>
    <t>Колесо мебельное, d=40 мм</t>
  </si>
  <si>
    <t>Опора  регулируемая с шипами, 50*41.6*H
42мм (никель)</t>
  </si>
  <si>
    <t>Опора  регулируемая с поддержкой боковины, 32*32*H50мм (цинк/белый)</t>
  </si>
  <si>
    <t xml:space="preserve">This specification replaces specification 5 dated 27 October 2025 to the contract № SHUNTEX/21V-2025  dd 15.05.2025/Данная спецификация заменяет спецификацию № 5 от 27 октября 2025г. к Контракту № SHUNTEX/21V-2025 от 15.05.2025 </t>
  </si>
  <si>
    <t>Specification № 5 dd 05-12-2025 / Спецификация № 5 от 05-12-2025</t>
  </si>
  <si>
    <r>
      <t xml:space="preserve">Skeleton cabinet hanger </t>
    </r>
    <r>
      <rPr>
        <sz val="12"/>
        <rFont val="宋体"/>
        <charset val="134"/>
      </rPr>
      <t>，</t>
    </r>
    <r>
      <rPr>
        <sz val="12"/>
        <rFont val="Arial"/>
        <family val="2"/>
      </rPr>
      <t>plastic+steel</t>
    </r>
    <r>
      <rPr>
        <sz val="12"/>
        <rFont val="宋体"/>
        <charset val="134"/>
      </rPr>
      <t>，</t>
    </r>
    <r>
      <rPr>
        <sz val="12"/>
        <rFont val="Arial"/>
        <family val="2"/>
      </rPr>
      <t>White+ plated, left,zinc</t>
    </r>
  </si>
  <si>
    <r>
      <t>Skeleton cabinet hanger,plastic+steel</t>
    </r>
    <r>
      <rPr>
        <sz val="12"/>
        <rFont val="宋体"/>
        <charset val="134"/>
      </rPr>
      <t>，</t>
    </r>
    <r>
      <rPr>
        <sz val="12"/>
        <rFont val="Arial"/>
        <family val="2"/>
      </rPr>
      <t>White+ plated, right, zinc</t>
    </r>
  </si>
  <si>
    <r>
      <t>Decoration cover for skeleton cabinet hanger</t>
    </r>
    <r>
      <rPr>
        <sz val="12"/>
        <rFont val="宋体"/>
        <charset val="134"/>
      </rPr>
      <t>，</t>
    </r>
    <r>
      <rPr>
        <sz val="12"/>
        <rFont val="Arial"/>
        <family val="2"/>
      </rPr>
      <t>left,steel</t>
    </r>
    <r>
      <rPr>
        <sz val="12"/>
        <rFont val="宋体"/>
        <charset val="134"/>
      </rPr>
      <t>，</t>
    </r>
    <r>
      <rPr>
        <sz val="12"/>
        <rFont val="Arial"/>
        <family val="2"/>
      </rPr>
      <t>Plated nickel</t>
    </r>
  </si>
  <si>
    <r>
      <t>Decoration cover for skeleton cabinet hanger, right</t>
    </r>
    <r>
      <rPr>
        <sz val="12"/>
        <rFont val="宋体"/>
        <charset val="134"/>
      </rPr>
      <t>，</t>
    </r>
    <r>
      <rPr>
        <sz val="12"/>
        <rFont val="Arial"/>
        <family val="2"/>
      </rPr>
      <t>steel</t>
    </r>
    <r>
      <rPr>
        <sz val="12"/>
        <rFont val="宋体"/>
        <charset val="134"/>
      </rPr>
      <t>，</t>
    </r>
    <r>
      <rPr>
        <sz val="12"/>
        <rFont val="Arial"/>
        <family val="2"/>
      </rPr>
      <t>Plated nickel</t>
    </r>
  </si>
  <si>
    <t xml:space="preserve"> Scarpi-4 hettich reinforced with self-tapping screws, load 130 kg. Left, right + cover. Without mounting plate. With plastic num in separate packing</t>
  </si>
  <si>
    <t>ECCENTRIC BOLT with red plastic  L=45 мм (34+11)</t>
  </si>
  <si>
    <t>Drawer basket.steel.plated chrome.
With 600 cabinet. 430*500*215mm, with Concealed runner soft-closing slide  направляющие скрытого монтажа, мет крепления</t>
  </si>
  <si>
    <t xml:space="preserve">Drawer basket.steel.plated chrome.
With 800 cabinet. 430*700*215mm, with Concealed runner soft-closing slide направляющие скрытого монтажа, мет крепления
</t>
  </si>
  <si>
    <t>TOTAL AMOUNT: 475 638,47 CNY</t>
  </si>
  <si>
    <t>HS Code/Код ТН ВЭД</t>
  </si>
  <si>
    <t>UNIT/ ЕДИНИЦА ИЗМЕРЕНИЯ</t>
  </si>
  <si>
    <t>set /комплект</t>
  </si>
  <si>
    <t>Pcs / шт</t>
  </si>
  <si>
    <t xml:space="preserve">TERMS OF DELIVERY : FOB NANSHA, CHINA / УСЛОВИЯ ПОСТАВКИ: FOB Наньша, Китай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</si>
</sst>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#,##0.0000_);[Red]\(#,##0.0000\)"/>
    <numFmt numFmtId="165" formatCode="0.00_ "/>
    <numFmt numFmtId="166" formatCode="0.00;[Red]0.00"/>
    <numFmt numFmtId="167" formatCode="#,##0.0000"/>
    <numFmt numFmtId="168" formatCode="#\ ##0_);[Red]\(#\ ##0\)"/>
    <numFmt numFmtId="169" formatCode="0.0000_);[Red]\(0.0000\)"/>
    <numFmt numFmtId="170" formatCode="0000000"/>
    <numFmt numFmtId="171" formatCode="0;[Red]0"/>
    <numFmt numFmtId="172" formatCode="0.000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0"/>
      <name val="Helv"/>
      <family val="2"/>
    </font>
    <font>
      <sz val="9"/>
      <name val="等线"/>
      <charset val="134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8"/>
      <name val="宋体"/>
      <charset val="134"/>
    </font>
    <font>
      <sz val="12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9"/>
      <name val="等线"/>
      <charset val="134"/>
    </font>
    <font>
      <sz val="11"/>
      <name val="Arial"/>
      <family val="2"/>
    </font>
    <font>
      <sz val="11"/>
      <color indexed="8"/>
      <name val="宋体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华文细黑"/>
      <charset val="134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name val="Arial Tur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Arial Tur"/>
      <charset val="162"/>
    </font>
    <font>
      <b/>
      <sz val="18"/>
      <color theme="1"/>
      <name val="Times New Roman"/>
      <family val="1"/>
      <charset val="204"/>
    </font>
    <font>
      <b/>
      <sz val="14"/>
      <color theme="1"/>
      <name val="Arial Black"/>
      <family val="2"/>
      <charset val="162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宋体"/>
      <family val="2"/>
    </font>
    <font>
      <b/>
      <u/>
      <sz val="12"/>
      <color theme="1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11" fillId="0" borderId="0"/>
    <xf numFmtId="0" fontId="12" fillId="0" borderId="0"/>
    <xf numFmtId="0" fontId="3" fillId="0" borderId="0"/>
    <xf numFmtId="0" fontId="10" fillId="0" borderId="0"/>
    <xf numFmtId="0" fontId="5" fillId="0" borderId="0"/>
    <xf numFmtId="0" fontId="26" fillId="0" borderId="0"/>
    <xf numFmtId="0" fontId="4" fillId="0" borderId="0"/>
    <xf numFmtId="0" fontId="37" fillId="0" borderId="0"/>
    <xf numFmtId="0" fontId="26" fillId="0" borderId="0"/>
  </cellStyleXfs>
  <cellXfs count="138">
    <xf numFmtId="0" fontId="0" fillId="0" borderId="0" xfId="0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4" fontId="18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49" fontId="21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5" fontId="22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21" fillId="2" borderId="0" xfId="0" applyFont="1" applyFill="1" applyAlignment="1">
      <alignment vertical="center"/>
    </xf>
    <xf numFmtId="3" fontId="21" fillId="2" borderId="1" xfId="0" applyNumberFormat="1" applyFont="1" applyFill="1" applyBorder="1" applyAlignment="1">
      <alignment horizontal="center" vertical="center"/>
    </xf>
    <xf numFmtId="168" fontId="21" fillId="2" borderId="1" xfId="0" applyNumberFormat="1" applyFont="1" applyFill="1" applyBorder="1" applyAlignment="1">
      <alignment horizontal="center" vertical="center" wrapText="1"/>
    </xf>
    <xf numFmtId="171" fontId="2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4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2" borderId="0" xfId="6" applyFont="1" applyFill="1" applyAlignment="1">
      <alignment horizontal="left"/>
    </xf>
    <xf numFmtId="0" fontId="27" fillId="2" borderId="0" xfId="6" applyFont="1" applyFill="1"/>
    <xf numFmtId="0" fontId="27" fillId="2" borderId="0" xfId="6" applyFont="1" applyFill="1" applyAlignment="1">
      <alignment horizontal="center" vertical="center"/>
    </xf>
    <xf numFmtId="0" fontId="28" fillId="2" borderId="0" xfId="0" applyFont="1" applyFill="1"/>
    <xf numFmtId="0" fontId="28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9" fillId="2" borderId="0" xfId="6" applyFont="1" applyFill="1"/>
    <xf numFmtId="0" fontId="27" fillId="2" borderId="0" xfId="7" applyFont="1" applyFill="1" applyAlignment="1">
      <alignment horizontal="left"/>
    </xf>
    <xf numFmtId="49" fontId="27" fillId="2" borderId="0" xfId="6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1" fillId="2" borderId="0" xfId="6" applyFont="1" applyFill="1" applyAlignment="1">
      <alignment vertical="center"/>
    </xf>
    <xf numFmtId="0" fontId="32" fillId="2" borderId="0" xfId="6" applyFont="1" applyFill="1" applyAlignment="1">
      <alignment vertical="center"/>
    </xf>
    <xf numFmtId="0" fontId="32" fillId="2" borderId="0" xfId="6" applyFont="1" applyFill="1" applyAlignment="1">
      <alignment horizontal="center" vertical="center"/>
    </xf>
    <xf numFmtId="0" fontId="31" fillId="2" borderId="0" xfId="6" applyFont="1" applyFill="1" applyAlignment="1">
      <alignment horizontal="center" vertical="center"/>
    </xf>
    <xf numFmtId="0" fontId="33" fillId="2" borderId="0" xfId="6" applyFont="1" applyFill="1" applyAlignment="1">
      <alignment horizontal="center" vertical="center"/>
    </xf>
    <xf numFmtId="0" fontId="34" fillId="2" borderId="0" xfId="6" applyFont="1" applyFill="1" applyAlignment="1">
      <alignment horizontal="center" vertical="center"/>
    </xf>
    <xf numFmtId="4" fontId="32" fillId="2" borderId="0" xfId="6" applyNumberFormat="1" applyFont="1" applyFill="1" applyAlignment="1">
      <alignment horizontal="center" vertical="center"/>
    </xf>
    <xf numFmtId="1" fontId="35" fillId="2" borderId="0" xfId="0" applyNumberFormat="1" applyFont="1" applyFill="1" applyAlignment="1">
      <alignment horizontal="left" vertical="center"/>
    </xf>
    <xf numFmtId="0" fontId="32" fillId="0" borderId="0" xfId="6" applyFont="1" applyAlignment="1">
      <alignment horizontal="center" vertical="center"/>
    </xf>
    <xf numFmtId="4" fontId="31" fillId="2" borderId="0" xfId="0" applyNumberFormat="1" applyFont="1" applyFill="1"/>
    <xf numFmtId="4" fontId="32" fillId="2" borderId="0" xfId="6" applyNumberFormat="1" applyFont="1" applyFill="1" applyAlignment="1">
      <alignment vertical="center"/>
    </xf>
    <xf numFmtId="0" fontId="31" fillId="2" borderId="0" xfId="6" applyFont="1" applyFill="1" applyAlignment="1">
      <alignment horizontal="center"/>
    </xf>
    <xf numFmtId="2" fontId="32" fillId="2" borderId="0" xfId="6" applyNumberFormat="1" applyFont="1" applyFill="1" applyAlignment="1">
      <alignment horizontal="center" vertical="center"/>
    </xf>
    <xf numFmtId="0" fontId="32" fillId="2" borderId="0" xfId="6" applyFont="1" applyFill="1"/>
    <xf numFmtId="0" fontId="31" fillId="2" borderId="0" xfId="0" applyFont="1" applyFill="1"/>
    <xf numFmtId="0" fontId="36" fillId="2" borderId="0" xfId="6" applyFont="1" applyFill="1" applyAlignment="1">
      <alignment horizontal="left" vertical="center"/>
    </xf>
    <xf numFmtId="0" fontId="35" fillId="2" borderId="0" xfId="6" applyFont="1" applyFill="1"/>
    <xf numFmtId="0" fontId="35" fillId="2" borderId="0" xfId="6" applyFont="1" applyFill="1" applyAlignment="1">
      <alignment horizontal="center" vertical="center"/>
    </xf>
    <xf numFmtId="0" fontId="36" fillId="2" borderId="0" xfId="6" applyFont="1" applyFill="1" applyAlignment="1">
      <alignment horizontal="center" vertical="center"/>
    </xf>
    <xf numFmtId="0" fontId="36" fillId="2" borderId="0" xfId="6" applyFont="1" applyFill="1" applyAlignment="1">
      <alignment horizontal="left" vertical="center" wrapText="1"/>
    </xf>
    <xf numFmtId="0" fontId="36" fillId="2" borderId="0" xfId="6" applyFont="1" applyFill="1" applyAlignment="1">
      <alignment horizontal="left" vertical="top" wrapText="1"/>
    </xf>
    <xf numFmtId="0" fontId="36" fillId="0" borderId="0" xfId="6" applyFont="1" applyAlignment="1">
      <alignment horizontal="center" vertical="center" wrapText="1"/>
    </xf>
    <xf numFmtId="0" fontId="35" fillId="0" borderId="0" xfId="6" applyFont="1" applyAlignment="1">
      <alignment horizontal="center" vertical="center"/>
    </xf>
    <xf numFmtId="4" fontId="35" fillId="2" borderId="0" xfId="6" applyNumberFormat="1" applyFont="1" applyFill="1"/>
    <xf numFmtId="0" fontId="36" fillId="2" borderId="0" xfId="6" applyFont="1" applyFill="1" applyAlignment="1">
      <alignment vertical="center"/>
    </xf>
    <xf numFmtId="0" fontId="36" fillId="2" borderId="0" xfId="6" applyFont="1" applyFill="1"/>
    <xf numFmtId="172" fontId="36" fillId="2" borderId="0" xfId="6" applyNumberFormat="1" applyFont="1" applyFill="1" applyAlignment="1">
      <alignment horizontal="center" vertical="center"/>
    </xf>
    <xf numFmtId="0" fontId="31" fillId="2" borderId="0" xfId="8" applyFont="1" applyFill="1" applyAlignment="1">
      <alignment horizontal="left"/>
    </xf>
    <xf numFmtId="0" fontId="31" fillId="0" borderId="0" xfId="8" applyFont="1" applyAlignment="1">
      <alignment horizontal="center" vertical="center"/>
    </xf>
    <xf numFmtId="0" fontId="32" fillId="0" borderId="0" xfId="8" applyFont="1" applyAlignment="1">
      <alignment horizontal="center" vertical="center"/>
    </xf>
    <xf numFmtId="0" fontId="32" fillId="2" borderId="0" xfId="8" applyFont="1" applyFill="1"/>
    <xf numFmtId="4" fontId="32" fillId="2" borderId="0" xfId="8" applyNumberFormat="1" applyFont="1" applyFill="1"/>
    <xf numFmtId="0" fontId="32" fillId="2" borderId="0" xfId="8" applyFont="1" applyFill="1" applyAlignment="1">
      <alignment horizontal="center"/>
    </xf>
    <xf numFmtId="0" fontId="31" fillId="2" borderId="0" xfId="6" applyFont="1" applyFill="1" applyAlignment="1">
      <alignment horizontal="right"/>
    </xf>
    <xf numFmtId="0" fontId="36" fillId="2" borderId="0" xfId="9" applyFont="1" applyFill="1"/>
    <xf numFmtId="0" fontId="38" fillId="2" borderId="0" xfId="9" applyFont="1" applyFill="1"/>
    <xf numFmtId="0" fontId="39" fillId="2" borderId="0" xfId="9" applyFont="1" applyFill="1"/>
    <xf numFmtId="0" fontId="35" fillId="2" borderId="0" xfId="6" applyFont="1" applyFill="1" applyAlignment="1">
      <alignment horizontal="left" vertical="center"/>
    </xf>
    <xf numFmtId="0" fontId="34" fillId="2" borderId="0" xfId="6" applyFont="1" applyFill="1" applyAlignment="1">
      <alignment horizontal="left" vertical="center"/>
    </xf>
    <xf numFmtId="172" fontId="33" fillId="0" borderId="0" xfId="6" applyNumberFormat="1" applyFont="1" applyAlignment="1">
      <alignment horizontal="center" vertical="center"/>
    </xf>
    <xf numFmtId="0" fontId="34" fillId="0" borderId="0" xfId="6" applyFont="1" applyAlignment="1">
      <alignment horizontal="center" vertical="center"/>
    </xf>
    <xf numFmtId="0" fontId="34" fillId="2" borderId="0" xfId="6" applyFont="1" applyFill="1"/>
    <xf numFmtId="0" fontId="33" fillId="2" borderId="0" xfId="9" applyFont="1" applyFill="1"/>
    <xf numFmtId="0" fontId="33" fillId="2" borderId="0" xfId="9" applyFont="1" applyFill="1" applyAlignment="1">
      <alignment horizontal="left"/>
    </xf>
    <xf numFmtId="0" fontId="31" fillId="2" borderId="0" xfId="9" applyFont="1" applyFill="1"/>
    <xf numFmtId="0" fontId="33" fillId="2" borderId="0" xfId="6" applyFont="1" applyFill="1" applyAlignment="1">
      <alignment horizontal="left" vertical="center" wrapText="1"/>
    </xf>
    <xf numFmtId="0" fontId="31" fillId="2" borderId="0" xfId="6" applyFont="1" applyFill="1"/>
    <xf numFmtId="0" fontId="40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49" fontId="22" fillId="0" borderId="1" xfId="0" applyNumberFormat="1" applyFont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vertical="center"/>
    </xf>
    <xf numFmtId="4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71" fontId="21" fillId="0" borderId="1" xfId="0" applyNumberFormat="1" applyFont="1" applyBorder="1" applyAlignment="1">
      <alignment horizontal="center" vertical="center" wrapText="1"/>
    </xf>
    <xf numFmtId="171" fontId="22" fillId="0" borderId="1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1" fillId="2" borderId="0" xfId="6" applyFont="1" applyFill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36" fillId="2" borderId="0" xfId="6" applyFont="1" applyFill="1" applyAlignment="1">
      <alignment horizontal="left" vertical="center"/>
    </xf>
    <xf numFmtId="0" fontId="36" fillId="2" borderId="0" xfId="6" applyFont="1" applyFill="1" applyAlignment="1">
      <alignment horizontal="left" vertical="center" wrapText="1"/>
    </xf>
    <xf numFmtId="0" fontId="31" fillId="2" borderId="0" xfId="8" applyFont="1" applyFill="1" applyAlignment="1">
      <alignment horizontal="left" vertical="center"/>
    </xf>
    <xf numFmtId="0" fontId="36" fillId="2" borderId="0" xfId="9" applyFont="1" applyFill="1" applyAlignment="1">
      <alignment horizontal="left" vertical="center" wrapText="1"/>
    </xf>
  </cellXfs>
  <cellStyles count="10">
    <cellStyle name="0,0_x000d__x000a_NA_x000d__x000a_" xfId="1"/>
    <cellStyle name="0,0_x000d__x000a_NA_x000d__x000a_ 2 2" xfId="2"/>
    <cellStyle name="Normal 2" xfId="8"/>
    <cellStyle name="Normal 2_проформа инвойса" xfId="9"/>
    <cellStyle name="Normal_Sayfa1 2" xfId="7"/>
    <cellStyle name="Обычный" xfId="0" builtinId="0"/>
    <cellStyle name="Обычный 2" xfId="3"/>
    <cellStyle name="Обычный 4" xfId="6"/>
    <cellStyle name="常规 5" xfId="4"/>
    <cellStyle name="样式 1" xf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</xdr:row>
      <xdr:rowOff>352425</xdr:rowOff>
    </xdr:from>
    <xdr:to>
      <xdr:col>0</xdr:col>
      <xdr:colOff>1095375</xdr:colOff>
      <xdr:row>6</xdr:row>
      <xdr:rowOff>466725</xdr:rowOff>
    </xdr:to>
    <xdr:pic>
      <xdr:nvPicPr>
        <xdr:cNvPr id="1221" name="Picture 1">
          <a:extLst>
            <a:ext uri="{FF2B5EF4-FFF2-40B4-BE49-F238E27FC236}">
              <a16:creationId xmlns:a16="http://schemas.microsoft.com/office/drawing/2014/main" id="{282D7FA9-BD6F-D035-FC63-FD4FA0B06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609975"/>
          <a:ext cx="8953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314325</xdr:colOff>
      <xdr:row>9</xdr:row>
      <xdr:rowOff>276225</xdr:rowOff>
    </xdr:from>
    <xdr:to>
      <xdr:col>0</xdr:col>
      <xdr:colOff>1171575</xdr:colOff>
      <xdr:row>10</xdr:row>
      <xdr:rowOff>285750</xdr:rowOff>
    </xdr:to>
    <xdr:pic>
      <xdr:nvPicPr>
        <xdr:cNvPr id="1222" name="Picture 8327">
          <a:extLst>
            <a:ext uri="{FF2B5EF4-FFF2-40B4-BE49-F238E27FC236}">
              <a16:creationId xmlns:a16="http://schemas.microsoft.com/office/drawing/2014/main" id="{730B3388-77E4-7837-3312-7E78F740C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6067425"/>
          <a:ext cx="8572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352425</xdr:colOff>
      <xdr:row>11</xdr:row>
      <xdr:rowOff>304800</xdr:rowOff>
    </xdr:from>
    <xdr:to>
      <xdr:col>0</xdr:col>
      <xdr:colOff>1152525</xdr:colOff>
      <xdr:row>12</xdr:row>
      <xdr:rowOff>409575</xdr:rowOff>
    </xdr:to>
    <xdr:pic>
      <xdr:nvPicPr>
        <xdr:cNvPr id="1223" name="Picture 8328">
          <a:extLst>
            <a:ext uri="{FF2B5EF4-FFF2-40B4-BE49-F238E27FC236}">
              <a16:creationId xmlns:a16="http://schemas.microsoft.com/office/drawing/2014/main" id="{BFD3CF1D-6076-70A8-C222-9FB22371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191375"/>
          <a:ext cx="800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257175</xdr:colOff>
      <xdr:row>13</xdr:row>
      <xdr:rowOff>76200</xdr:rowOff>
    </xdr:from>
    <xdr:to>
      <xdr:col>0</xdr:col>
      <xdr:colOff>1095375</xdr:colOff>
      <xdr:row>13</xdr:row>
      <xdr:rowOff>762000</xdr:rowOff>
    </xdr:to>
    <xdr:pic>
      <xdr:nvPicPr>
        <xdr:cNvPr id="1224" name="Picture 278">
          <a:extLst>
            <a:ext uri="{FF2B5EF4-FFF2-40B4-BE49-F238E27FC236}">
              <a16:creationId xmlns:a16="http://schemas.microsoft.com/office/drawing/2014/main" id="{F6BD7C86-A55A-612E-A341-974B4A4E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991475"/>
          <a:ext cx="838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438150</xdr:colOff>
      <xdr:row>18</xdr:row>
      <xdr:rowOff>219075</xdr:rowOff>
    </xdr:from>
    <xdr:to>
      <xdr:col>0</xdr:col>
      <xdr:colOff>838200</xdr:colOff>
      <xdr:row>18</xdr:row>
      <xdr:rowOff>885825</xdr:rowOff>
    </xdr:to>
    <xdr:pic>
      <xdr:nvPicPr>
        <xdr:cNvPr id="1225" name="Рисунок 8">
          <a:extLst>
            <a:ext uri="{FF2B5EF4-FFF2-40B4-BE49-F238E27FC236}">
              <a16:creationId xmlns:a16="http://schemas.microsoft.com/office/drawing/2014/main" id="{C6FE1EBE-8645-5B5E-1E13-7EE51F5E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049125"/>
          <a:ext cx="400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352425</xdr:colOff>
      <xdr:row>14</xdr:row>
      <xdr:rowOff>66675</xdr:rowOff>
    </xdr:from>
    <xdr:to>
      <xdr:col>0</xdr:col>
      <xdr:colOff>1009650</xdr:colOff>
      <xdr:row>14</xdr:row>
      <xdr:rowOff>676275</xdr:rowOff>
    </xdr:to>
    <xdr:pic>
      <xdr:nvPicPr>
        <xdr:cNvPr id="1226" name="Picture 9938">
          <a:extLst>
            <a:ext uri="{FF2B5EF4-FFF2-40B4-BE49-F238E27FC236}">
              <a16:creationId xmlns:a16="http://schemas.microsoft.com/office/drawing/2014/main" id="{22267F25-E2A4-2C06-ED8C-65609E707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8810625"/>
          <a:ext cx="6572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361950</xdr:colOff>
      <xdr:row>19</xdr:row>
      <xdr:rowOff>400050</xdr:rowOff>
    </xdr:from>
    <xdr:to>
      <xdr:col>0</xdr:col>
      <xdr:colOff>914400</xdr:colOff>
      <xdr:row>21</xdr:row>
      <xdr:rowOff>123825</xdr:rowOff>
    </xdr:to>
    <xdr:pic>
      <xdr:nvPicPr>
        <xdr:cNvPr id="1227" name="Picture 11682">
          <a:extLst>
            <a:ext uri="{FF2B5EF4-FFF2-40B4-BE49-F238E27FC236}">
              <a16:creationId xmlns:a16="http://schemas.microsoft.com/office/drawing/2014/main" id="{8D4AE0A9-89C8-3A47-9252-4E36828B2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163550"/>
          <a:ext cx="5524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314325</xdr:colOff>
      <xdr:row>22</xdr:row>
      <xdr:rowOff>152400</xdr:rowOff>
    </xdr:from>
    <xdr:to>
      <xdr:col>0</xdr:col>
      <xdr:colOff>942975</xdr:colOff>
      <xdr:row>22</xdr:row>
      <xdr:rowOff>838200</xdr:rowOff>
    </xdr:to>
    <xdr:pic>
      <xdr:nvPicPr>
        <xdr:cNvPr id="1228" name="Picture 11687">
          <a:extLst>
            <a:ext uri="{FF2B5EF4-FFF2-40B4-BE49-F238E27FC236}">
              <a16:creationId xmlns:a16="http://schemas.microsoft.com/office/drawing/2014/main" id="{C931F23B-DC09-6958-FD51-76DE896C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887575"/>
          <a:ext cx="6286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23</xdr:row>
      <xdr:rowOff>133350</xdr:rowOff>
    </xdr:from>
    <xdr:to>
      <xdr:col>0</xdr:col>
      <xdr:colOff>923925</xdr:colOff>
      <xdr:row>23</xdr:row>
      <xdr:rowOff>790575</xdr:rowOff>
    </xdr:to>
    <xdr:pic>
      <xdr:nvPicPr>
        <xdr:cNvPr id="1229" name="Picture 11688">
          <a:extLst>
            <a:ext uri="{FF2B5EF4-FFF2-40B4-BE49-F238E27FC236}">
              <a16:creationId xmlns:a16="http://schemas.microsoft.com/office/drawing/2014/main" id="{8CDACFE9-9D22-0962-7D1D-97BB10D8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763875"/>
          <a:ext cx="6953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24</xdr:row>
      <xdr:rowOff>171450</xdr:rowOff>
    </xdr:from>
    <xdr:to>
      <xdr:col>0</xdr:col>
      <xdr:colOff>876300</xdr:colOff>
      <xdr:row>24</xdr:row>
      <xdr:rowOff>828675</xdr:rowOff>
    </xdr:to>
    <xdr:pic>
      <xdr:nvPicPr>
        <xdr:cNvPr id="1230" name="Picture 11693">
          <a:extLst>
            <a:ext uri="{FF2B5EF4-FFF2-40B4-BE49-F238E27FC236}">
              <a16:creationId xmlns:a16="http://schemas.microsoft.com/office/drawing/2014/main" id="{BAB8510F-7C5A-B710-49D0-1304D71E7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697325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238125</xdr:colOff>
      <xdr:row>25</xdr:row>
      <xdr:rowOff>85725</xdr:rowOff>
    </xdr:from>
    <xdr:to>
      <xdr:col>0</xdr:col>
      <xdr:colOff>1000125</xdr:colOff>
      <xdr:row>25</xdr:row>
      <xdr:rowOff>838200</xdr:rowOff>
    </xdr:to>
    <xdr:pic>
      <xdr:nvPicPr>
        <xdr:cNvPr id="1231" name="Picture 11694">
          <a:extLst>
            <a:ext uri="{FF2B5EF4-FFF2-40B4-BE49-F238E27FC236}">
              <a16:creationId xmlns:a16="http://schemas.microsoft.com/office/drawing/2014/main" id="{9A1B51F5-B3A4-0C3E-4988-D82BE82D2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7506950"/>
          <a:ext cx="7620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257175</xdr:colOff>
      <xdr:row>26</xdr:row>
      <xdr:rowOff>57150</xdr:rowOff>
    </xdr:from>
    <xdr:to>
      <xdr:col>0</xdr:col>
      <xdr:colOff>962025</xdr:colOff>
      <xdr:row>26</xdr:row>
      <xdr:rowOff>781050</xdr:rowOff>
    </xdr:to>
    <xdr:pic>
      <xdr:nvPicPr>
        <xdr:cNvPr id="1232" name="Picture 11695">
          <a:extLst>
            <a:ext uri="{FF2B5EF4-FFF2-40B4-BE49-F238E27FC236}">
              <a16:creationId xmlns:a16="http://schemas.microsoft.com/office/drawing/2014/main" id="{F0994CB3-C0AA-D0FD-41EB-CEDA1E85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8373725"/>
          <a:ext cx="7048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27</xdr:row>
      <xdr:rowOff>200025</xdr:rowOff>
    </xdr:from>
    <xdr:to>
      <xdr:col>0</xdr:col>
      <xdr:colOff>895350</xdr:colOff>
      <xdr:row>28</xdr:row>
      <xdr:rowOff>161925</xdr:rowOff>
    </xdr:to>
    <xdr:pic>
      <xdr:nvPicPr>
        <xdr:cNvPr id="1233" name="Picture 8267">
          <a:extLst>
            <a:ext uri="{FF2B5EF4-FFF2-40B4-BE49-F238E27FC236}">
              <a16:creationId xmlns:a16="http://schemas.microsoft.com/office/drawing/2014/main" id="{071E5766-138C-45FE-051E-1CAB22A49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411950"/>
          <a:ext cx="6762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28</xdr:row>
      <xdr:rowOff>238125</xdr:rowOff>
    </xdr:from>
    <xdr:to>
      <xdr:col>0</xdr:col>
      <xdr:colOff>1381125</xdr:colOff>
      <xdr:row>28</xdr:row>
      <xdr:rowOff>647700</xdr:rowOff>
    </xdr:to>
    <xdr:pic>
      <xdr:nvPicPr>
        <xdr:cNvPr id="1234" name="Picture 1">
          <a:extLst>
            <a:ext uri="{FF2B5EF4-FFF2-40B4-BE49-F238E27FC236}">
              <a16:creationId xmlns:a16="http://schemas.microsoft.com/office/drawing/2014/main" id="{F728B6DF-4FC1-C23D-D75B-C31CE7B9F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0345400"/>
          <a:ext cx="7334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29</xdr:row>
      <xdr:rowOff>152400</xdr:rowOff>
    </xdr:from>
    <xdr:to>
      <xdr:col>0</xdr:col>
      <xdr:colOff>1095375</xdr:colOff>
      <xdr:row>29</xdr:row>
      <xdr:rowOff>904875</xdr:rowOff>
    </xdr:to>
    <xdr:pic>
      <xdr:nvPicPr>
        <xdr:cNvPr id="1235" name="Picture 859">
          <a:extLst>
            <a:ext uri="{FF2B5EF4-FFF2-40B4-BE49-F238E27FC236}">
              <a16:creationId xmlns:a16="http://schemas.microsoft.com/office/drawing/2014/main" id="{AA1429C3-32C7-0748-448A-3AB3D00AB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1155025"/>
          <a:ext cx="838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30</xdr:row>
      <xdr:rowOff>95250</xdr:rowOff>
    </xdr:from>
    <xdr:to>
      <xdr:col>0</xdr:col>
      <xdr:colOff>962025</xdr:colOff>
      <xdr:row>30</xdr:row>
      <xdr:rowOff>847725</xdr:rowOff>
    </xdr:to>
    <xdr:pic>
      <xdr:nvPicPr>
        <xdr:cNvPr id="1236" name="Picture 8849">
          <a:extLst>
            <a:ext uri="{FF2B5EF4-FFF2-40B4-BE49-F238E27FC236}">
              <a16:creationId xmlns:a16="http://schemas.microsoft.com/office/drawing/2014/main" id="{1D6781D0-1E08-0792-6D2E-AEBF49968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2117050"/>
          <a:ext cx="5905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295275</xdr:colOff>
      <xdr:row>15</xdr:row>
      <xdr:rowOff>76200</xdr:rowOff>
    </xdr:from>
    <xdr:to>
      <xdr:col>0</xdr:col>
      <xdr:colOff>1104900</xdr:colOff>
      <xdr:row>15</xdr:row>
      <xdr:rowOff>714375</xdr:rowOff>
    </xdr:to>
    <xdr:pic>
      <xdr:nvPicPr>
        <xdr:cNvPr id="1237" name="Picture 1587">
          <a:extLst>
            <a:ext uri="{FF2B5EF4-FFF2-40B4-BE49-F238E27FC236}">
              <a16:creationId xmlns:a16="http://schemas.microsoft.com/office/drawing/2014/main" id="{B04A1AA0-DF1A-0F04-193C-5C8480AE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591675"/>
          <a:ext cx="8096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16</xdr:row>
      <xdr:rowOff>123825</xdr:rowOff>
    </xdr:from>
    <xdr:to>
      <xdr:col>0</xdr:col>
      <xdr:colOff>1095375</xdr:colOff>
      <xdr:row>16</xdr:row>
      <xdr:rowOff>714375</xdr:rowOff>
    </xdr:to>
    <xdr:pic>
      <xdr:nvPicPr>
        <xdr:cNvPr id="1238" name="Picture 200">
          <a:extLst>
            <a:ext uri="{FF2B5EF4-FFF2-40B4-BE49-F238E27FC236}">
              <a16:creationId xmlns:a16="http://schemas.microsoft.com/office/drawing/2014/main" id="{6A2B9A59-BAE0-FA6E-634E-5B33F6F46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0410825"/>
          <a:ext cx="7905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323850</xdr:colOff>
      <xdr:row>17</xdr:row>
      <xdr:rowOff>85725</xdr:rowOff>
    </xdr:from>
    <xdr:to>
      <xdr:col>0</xdr:col>
      <xdr:colOff>1028700</xdr:colOff>
      <xdr:row>17</xdr:row>
      <xdr:rowOff>819150</xdr:rowOff>
    </xdr:to>
    <xdr:pic>
      <xdr:nvPicPr>
        <xdr:cNvPr id="1239" name="图片 48" descr="14011.jpg">
          <a:extLst>
            <a:ext uri="{FF2B5EF4-FFF2-40B4-BE49-F238E27FC236}">
              <a16:creationId xmlns:a16="http://schemas.microsoft.com/office/drawing/2014/main" id="{9E55E0C5-61E0-E57A-685B-2E9B639CD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1144250"/>
          <a:ext cx="7048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83127</xdr:colOff>
      <xdr:row>31</xdr:row>
      <xdr:rowOff>263236</xdr:rowOff>
    </xdr:from>
    <xdr:to>
      <xdr:col>0</xdr:col>
      <xdr:colOff>1409007</xdr:colOff>
      <xdr:row>31</xdr:row>
      <xdr:rowOff>1238596</xdr:rowOff>
    </xdr:to>
    <xdr:pic>
      <xdr:nvPicPr>
        <xdr:cNvPr id="21" name="Picture 9">
          <a:extLst>
            <a:ext uri="{FF2B5EF4-FFF2-40B4-BE49-F238E27FC236}">
              <a16:creationId xmlns:a16="http://schemas.microsoft.com/office/drawing/2014/main" id="{F50E8CBD-6019-4D30-AE79-CFB00C7F7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27" y="22236545"/>
          <a:ext cx="1325880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193963</xdr:colOff>
      <xdr:row>32</xdr:row>
      <xdr:rowOff>803564</xdr:rowOff>
    </xdr:from>
    <xdr:to>
      <xdr:col>0</xdr:col>
      <xdr:colOff>1454726</xdr:colOff>
      <xdr:row>34</xdr:row>
      <xdr:rowOff>207819</xdr:rowOff>
    </xdr:to>
    <xdr:pic>
      <xdr:nvPicPr>
        <xdr:cNvPr id="22" name="图片 5">
          <a:extLst>
            <a:ext uri="{FF2B5EF4-FFF2-40B4-BE49-F238E27FC236}">
              <a16:creationId xmlns:a16="http://schemas.microsoft.com/office/drawing/2014/main" id="{2DA4F32E-F469-49FA-861D-DFA87BF22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63" y="24217746"/>
          <a:ext cx="1260763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318655</xdr:colOff>
      <xdr:row>35</xdr:row>
      <xdr:rowOff>277091</xdr:rowOff>
    </xdr:from>
    <xdr:to>
      <xdr:col>0</xdr:col>
      <xdr:colOff>1255915</xdr:colOff>
      <xdr:row>35</xdr:row>
      <xdr:rowOff>1191491</xdr:rowOff>
    </xdr:to>
    <xdr:pic>
      <xdr:nvPicPr>
        <xdr:cNvPr id="23" name="Picture 147">
          <a:extLst>
            <a:ext uri="{FF2B5EF4-FFF2-40B4-BE49-F238E27FC236}">
              <a16:creationId xmlns:a16="http://schemas.microsoft.com/office/drawing/2014/main" id="{26A9C593-31D4-4F51-AC1A-3EA937B1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655" y="26725418"/>
          <a:ext cx="93726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235527</xdr:colOff>
      <xdr:row>36</xdr:row>
      <xdr:rowOff>193964</xdr:rowOff>
    </xdr:from>
    <xdr:to>
      <xdr:col>0</xdr:col>
      <xdr:colOff>1370907</xdr:colOff>
      <xdr:row>36</xdr:row>
      <xdr:rowOff>1138844</xdr:rowOff>
    </xdr:to>
    <xdr:pic>
      <xdr:nvPicPr>
        <xdr:cNvPr id="24" name="Picture 148">
          <a:extLst>
            <a:ext uri="{FF2B5EF4-FFF2-40B4-BE49-F238E27FC236}">
              <a16:creationId xmlns:a16="http://schemas.microsoft.com/office/drawing/2014/main" id="{85497248-F823-4050-8A54-377E4B865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527" y="27930764"/>
          <a:ext cx="113538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55"/>
  <sheetViews>
    <sheetView tabSelected="1" topLeftCell="A13" zoomScale="70" zoomScaleNormal="70" zoomScaleSheetLayoutView="55" workbookViewId="0">
      <selection activeCell="D36" sqref="D36"/>
    </sheetView>
  </sheetViews>
  <sheetFormatPr defaultColWidth="9.109375" defaultRowHeight="15"/>
  <cols>
    <col min="1" max="1" width="23.44140625" style="1" customWidth="1"/>
    <col min="2" max="2" width="26" style="1" customWidth="1"/>
    <col min="3" max="3" width="17.109375" style="10" customWidth="1"/>
    <col min="4" max="5" width="63.5546875" style="11" customWidth="1"/>
    <col min="6" max="6" width="26" style="11" customWidth="1"/>
    <col min="7" max="8" width="17.88671875" style="41" customWidth="1"/>
    <col min="9" max="9" width="20.44140625" style="20" customWidth="1"/>
    <col min="10" max="11" width="18.88671875" style="6" customWidth="1"/>
    <col min="12" max="12" width="16.5546875" style="45" customWidth="1"/>
    <col min="13" max="13" width="21" style="1" customWidth="1"/>
    <col min="14" max="14" width="19" style="1" customWidth="1"/>
    <col min="15" max="15" width="8.88671875" style="33" hidden="1" customWidth="1"/>
    <col min="16" max="16" width="8.44140625" style="33" hidden="1" customWidth="1"/>
    <col min="17" max="18" width="6" style="33" hidden="1" customWidth="1"/>
    <col min="19" max="19" width="7.5546875" style="33" hidden="1" customWidth="1"/>
    <col min="20" max="20" width="21.109375" style="11" customWidth="1"/>
    <col min="21" max="16384" width="9.109375" style="1"/>
  </cols>
  <sheetData>
    <row r="1" spans="1:56" s="55" customFormat="1" ht="22.8">
      <c r="A1" s="49" t="s">
        <v>78</v>
      </c>
      <c r="B1" s="50"/>
      <c r="C1" s="50"/>
      <c r="D1" s="50"/>
      <c r="E1" s="50"/>
      <c r="F1" s="50"/>
      <c r="G1" s="50"/>
      <c r="H1" s="50"/>
      <c r="I1" s="51"/>
      <c r="J1" s="51"/>
      <c r="K1" s="51"/>
      <c r="L1" s="52"/>
      <c r="M1" s="52"/>
      <c r="N1" s="52"/>
      <c r="O1" s="52"/>
      <c r="P1" s="52"/>
      <c r="Q1" s="52"/>
      <c r="R1" s="53"/>
      <c r="S1" s="54"/>
      <c r="T1" s="54"/>
      <c r="U1" s="54"/>
      <c r="V1" s="54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</row>
    <row r="2" spans="1:56" s="55" customFormat="1" ht="22.8">
      <c r="A2" s="49" t="s">
        <v>139</v>
      </c>
      <c r="B2" s="56"/>
      <c r="C2" s="56"/>
      <c r="D2" s="51"/>
      <c r="E2" s="51"/>
      <c r="F2" s="51"/>
      <c r="G2" s="51"/>
      <c r="H2" s="51"/>
      <c r="I2" s="51"/>
      <c r="J2" s="51"/>
      <c r="K2" s="57"/>
      <c r="L2" s="58"/>
      <c r="M2" s="52"/>
      <c r="N2" s="52"/>
      <c r="O2" s="52"/>
      <c r="P2" s="52"/>
      <c r="Q2" s="52"/>
      <c r="R2" s="53"/>
      <c r="S2" s="54"/>
      <c r="T2" s="54"/>
      <c r="U2" s="54"/>
      <c r="V2" s="54"/>
      <c r="W2" s="52"/>
      <c r="X2" s="52"/>
      <c r="Y2" s="52"/>
      <c r="Z2" s="52"/>
      <c r="AA2" s="52"/>
      <c r="AB2" s="52"/>
      <c r="AC2" s="52"/>
      <c r="AD2" s="52"/>
    </row>
    <row r="3" spans="1:56" ht="63" customHeight="1">
      <c r="A3" s="25" t="s">
        <v>67</v>
      </c>
      <c r="B3" s="25" t="s">
        <v>68</v>
      </c>
      <c r="C3" s="12" t="s">
        <v>69</v>
      </c>
      <c r="D3" s="14" t="s">
        <v>0</v>
      </c>
      <c r="E3" s="14" t="s">
        <v>70</v>
      </c>
      <c r="F3" s="14" t="s">
        <v>149</v>
      </c>
      <c r="G3" s="46" t="s">
        <v>71</v>
      </c>
      <c r="H3" s="125" t="s">
        <v>150</v>
      </c>
      <c r="I3" s="7" t="s">
        <v>72</v>
      </c>
      <c r="J3" s="13" t="s">
        <v>73</v>
      </c>
      <c r="K3" s="47" t="s">
        <v>74</v>
      </c>
      <c r="L3" s="48" t="s">
        <v>75</v>
      </c>
      <c r="M3" s="14" t="s">
        <v>76</v>
      </c>
      <c r="N3" s="14" t="s">
        <v>77</v>
      </c>
      <c r="O3" s="24" t="s">
        <v>64</v>
      </c>
      <c r="P3" s="24" t="s">
        <v>65</v>
      </c>
      <c r="Q3" s="130" t="s">
        <v>66</v>
      </c>
      <c r="R3" s="130"/>
      <c r="S3" s="130"/>
      <c r="T3" s="33"/>
    </row>
    <row r="4" spans="1:56" ht="38.25" customHeight="1">
      <c r="A4" s="131"/>
      <c r="B4" s="35" t="s">
        <v>58</v>
      </c>
      <c r="C4" s="16" t="s">
        <v>59</v>
      </c>
      <c r="D4" s="17" t="s">
        <v>60</v>
      </c>
      <c r="E4" s="17" t="s">
        <v>98</v>
      </c>
      <c r="F4" s="14">
        <v>9403990001</v>
      </c>
      <c r="G4" s="42">
        <v>240</v>
      </c>
      <c r="H4" s="42" t="s">
        <v>151</v>
      </c>
      <c r="I4" s="9">
        <v>53.946000000000005</v>
      </c>
      <c r="J4" s="13">
        <f>I4*G4</f>
        <v>12947.04</v>
      </c>
      <c r="K4" s="124">
        <v>1</v>
      </c>
      <c r="L4" s="116">
        <f>G4/K4</f>
        <v>240</v>
      </c>
      <c r="M4" s="15">
        <v>804</v>
      </c>
      <c r="N4" s="15">
        <v>876</v>
      </c>
      <c r="O4" s="33">
        <v>3.3</v>
      </c>
      <c r="P4" s="33">
        <v>3.8</v>
      </c>
      <c r="Q4" s="33">
        <v>47</v>
      </c>
      <c r="R4" s="33">
        <v>11</v>
      </c>
      <c r="S4" s="33">
        <v>51</v>
      </c>
      <c r="T4" s="37"/>
    </row>
    <row r="5" spans="1:56" ht="38.25" customHeight="1">
      <c r="A5" s="132"/>
      <c r="B5" s="35" t="s">
        <v>61</v>
      </c>
      <c r="C5" s="16" t="s">
        <v>62</v>
      </c>
      <c r="D5" s="17" t="s">
        <v>63</v>
      </c>
      <c r="E5" s="17" t="s">
        <v>99</v>
      </c>
      <c r="F5" s="14">
        <v>9403990001</v>
      </c>
      <c r="G5" s="42">
        <v>240</v>
      </c>
      <c r="H5" s="42" t="s">
        <v>151</v>
      </c>
      <c r="I5" s="9">
        <v>53.946000000000005</v>
      </c>
      <c r="J5" s="13">
        <f>I5*G5</f>
        <v>12947.04</v>
      </c>
      <c r="K5" s="124">
        <v>1</v>
      </c>
      <c r="L5" s="116">
        <f>G5/K5</f>
        <v>240</v>
      </c>
      <c r="M5" s="15">
        <v>804</v>
      </c>
      <c r="N5" s="15">
        <v>876</v>
      </c>
      <c r="O5" s="33">
        <v>3.3</v>
      </c>
      <c r="P5" s="33">
        <v>3.8</v>
      </c>
      <c r="Q5" s="33">
        <v>47</v>
      </c>
      <c r="R5" s="33">
        <v>11</v>
      </c>
      <c r="S5" s="33">
        <v>51</v>
      </c>
      <c r="T5" s="37"/>
    </row>
    <row r="6" spans="1:56" ht="39.75" customHeight="1">
      <c r="A6" s="132"/>
      <c r="B6" s="8" t="s">
        <v>11</v>
      </c>
      <c r="C6" s="16" t="s">
        <v>3</v>
      </c>
      <c r="D6" s="17" t="s">
        <v>21</v>
      </c>
      <c r="E6" s="17" t="s">
        <v>100</v>
      </c>
      <c r="F6" s="14">
        <v>9403990001</v>
      </c>
      <c r="G6" s="42">
        <v>150</v>
      </c>
      <c r="H6" s="42" t="s">
        <v>151</v>
      </c>
      <c r="I6" s="9">
        <v>58.741200000000006</v>
      </c>
      <c r="J6" s="13">
        <f t="shared" ref="J6:J37" si="0">I6*G6</f>
        <v>8811.18</v>
      </c>
      <c r="K6" s="124">
        <v>1</v>
      </c>
      <c r="L6" s="116">
        <f t="shared" ref="L6:L31" si="1">G6/K6</f>
        <v>150</v>
      </c>
      <c r="M6" s="15">
        <v>532.5</v>
      </c>
      <c r="N6" s="15">
        <v>592.5</v>
      </c>
      <c r="O6" s="33">
        <v>3.5</v>
      </c>
      <c r="P6" s="33">
        <v>4</v>
      </c>
      <c r="Q6" s="33">
        <v>47</v>
      </c>
      <c r="R6" s="33">
        <v>16</v>
      </c>
      <c r="S6" s="33">
        <v>51</v>
      </c>
    </row>
    <row r="7" spans="1:56" ht="39.75" customHeight="1">
      <c r="A7" s="132"/>
      <c r="B7" s="8" t="s">
        <v>12</v>
      </c>
      <c r="C7" s="16" t="s">
        <v>4</v>
      </c>
      <c r="D7" s="17" t="s">
        <v>22</v>
      </c>
      <c r="E7" s="17" t="s">
        <v>101</v>
      </c>
      <c r="F7" s="14">
        <v>9403990001</v>
      </c>
      <c r="G7" s="42">
        <v>200</v>
      </c>
      <c r="H7" s="42" t="s">
        <v>151</v>
      </c>
      <c r="I7" s="9">
        <v>58.741200000000006</v>
      </c>
      <c r="J7" s="13">
        <f t="shared" si="0"/>
        <v>11748.240000000002</v>
      </c>
      <c r="K7" s="124">
        <v>1</v>
      </c>
      <c r="L7" s="116">
        <f t="shared" si="1"/>
        <v>200</v>
      </c>
      <c r="M7" s="123">
        <v>710</v>
      </c>
      <c r="N7" s="15">
        <v>790</v>
      </c>
      <c r="O7" s="33">
        <v>3.5</v>
      </c>
      <c r="P7" s="33">
        <v>4</v>
      </c>
      <c r="Q7" s="33">
        <v>47</v>
      </c>
      <c r="R7" s="33">
        <v>16</v>
      </c>
      <c r="S7" s="33">
        <v>51</v>
      </c>
    </row>
    <row r="8" spans="1:56" ht="40.5" customHeight="1">
      <c r="A8" s="132"/>
      <c r="B8" s="8" t="s">
        <v>13</v>
      </c>
      <c r="C8" s="16" t="s">
        <v>5</v>
      </c>
      <c r="D8" s="21" t="s">
        <v>23</v>
      </c>
      <c r="E8" s="17" t="s">
        <v>102</v>
      </c>
      <c r="F8" s="14">
        <v>9403990001</v>
      </c>
      <c r="G8" s="42">
        <v>50</v>
      </c>
      <c r="H8" s="42" t="s">
        <v>151</v>
      </c>
      <c r="I8" s="9">
        <v>68.931000000000012</v>
      </c>
      <c r="J8" s="13">
        <f t="shared" si="0"/>
        <v>3446.5500000000006</v>
      </c>
      <c r="K8" s="124">
        <v>1</v>
      </c>
      <c r="L8" s="116">
        <f t="shared" si="1"/>
        <v>50</v>
      </c>
      <c r="M8" s="123">
        <v>197.5</v>
      </c>
      <c r="N8" s="15">
        <v>222.5</v>
      </c>
      <c r="O8" s="33">
        <v>3.7</v>
      </c>
      <c r="P8" s="33">
        <v>4.2</v>
      </c>
      <c r="Q8" s="33">
        <v>47</v>
      </c>
      <c r="R8" s="33">
        <v>26</v>
      </c>
      <c r="S8" s="33">
        <v>51</v>
      </c>
    </row>
    <row r="9" spans="1:56" ht="41.25" customHeight="1">
      <c r="A9" s="133"/>
      <c r="B9" s="8" t="s">
        <v>14</v>
      </c>
      <c r="C9" s="16" t="s">
        <v>6</v>
      </c>
      <c r="D9" s="21" t="s">
        <v>24</v>
      </c>
      <c r="E9" s="17" t="s">
        <v>103</v>
      </c>
      <c r="F9" s="14">
        <v>9403990001</v>
      </c>
      <c r="G9" s="42">
        <v>50</v>
      </c>
      <c r="H9" s="42" t="s">
        <v>151</v>
      </c>
      <c r="I9" s="9">
        <v>68.931000000000012</v>
      </c>
      <c r="J9" s="13">
        <f t="shared" si="0"/>
        <v>3446.5500000000006</v>
      </c>
      <c r="K9" s="124">
        <v>1</v>
      </c>
      <c r="L9" s="116">
        <f t="shared" si="1"/>
        <v>50</v>
      </c>
      <c r="M9" s="123">
        <v>197.5</v>
      </c>
      <c r="N9" s="15">
        <v>222.5</v>
      </c>
      <c r="O9" s="33">
        <v>3.7</v>
      </c>
      <c r="P9" s="33">
        <v>4.2</v>
      </c>
      <c r="Q9" s="33">
        <v>47</v>
      </c>
      <c r="R9" s="33">
        <v>26</v>
      </c>
      <c r="S9" s="33">
        <v>51</v>
      </c>
    </row>
    <row r="10" spans="1:56" ht="45.75" customHeight="1">
      <c r="A10" s="126"/>
      <c r="B10" s="8" t="s">
        <v>15</v>
      </c>
      <c r="C10" s="16" t="s">
        <v>7</v>
      </c>
      <c r="D10" s="21" t="s">
        <v>140</v>
      </c>
      <c r="E10" s="21" t="s">
        <v>104</v>
      </c>
      <c r="F10" s="120">
        <v>8302420000</v>
      </c>
      <c r="G10" s="42">
        <v>50000</v>
      </c>
      <c r="H10" s="42" t="s">
        <v>151</v>
      </c>
      <c r="I10" s="9">
        <v>1.4751000000000001</v>
      </c>
      <c r="J10" s="13">
        <f t="shared" si="0"/>
        <v>73755</v>
      </c>
      <c r="K10" s="124">
        <v>200</v>
      </c>
      <c r="L10" s="116">
        <f t="shared" si="1"/>
        <v>250</v>
      </c>
      <c r="M10" s="123">
        <v>2850</v>
      </c>
      <c r="N10" s="15">
        <v>2950</v>
      </c>
      <c r="O10" s="33">
        <v>11.5</v>
      </c>
      <c r="P10" s="33">
        <v>11.8</v>
      </c>
      <c r="Q10" s="33">
        <v>36</v>
      </c>
      <c r="R10" s="33">
        <v>25.5</v>
      </c>
      <c r="S10" s="33">
        <v>18.5</v>
      </c>
    </row>
    <row r="11" spans="1:56" ht="40.5" customHeight="1">
      <c r="A11" s="128"/>
      <c r="B11" s="8" t="s">
        <v>39</v>
      </c>
      <c r="C11" s="16" t="s">
        <v>8</v>
      </c>
      <c r="D11" s="21" t="s">
        <v>141</v>
      </c>
      <c r="E11" s="21" t="s">
        <v>104</v>
      </c>
      <c r="F11" s="120">
        <v>8302420000</v>
      </c>
      <c r="G11" s="42">
        <v>50000</v>
      </c>
      <c r="H11" s="42" t="s">
        <v>151</v>
      </c>
      <c r="I11" s="9">
        <v>1.4751000000000001</v>
      </c>
      <c r="J11" s="13">
        <f t="shared" si="0"/>
        <v>73755</v>
      </c>
      <c r="K11" s="124">
        <v>200</v>
      </c>
      <c r="L11" s="116">
        <f t="shared" si="1"/>
        <v>250</v>
      </c>
      <c r="M11" s="123">
        <v>2850</v>
      </c>
      <c r="N11" s="15">
        <v>2950</v>
      </c>
      <c r="O11" s="33">
        <v>11.5</v>
      </c>
      <c r="P11" s="33">
        <v>11.8</v>
      </c>
      <c r="Q11" s="33">
        <v>36</v>
      </c>
      <c r="R11" s="33">
        <v>25.5</v>
      </c>
      <c r="S11" s="33">
        <v>18.5</v>
      </c>
    </row>
    <row r="12" spans="1:56" ht="39.75" customHeight="1">
      <c r="A12" s="126"/>
      <c r="B12" s="8" t="s">
        <v>16</v>
      </c>
      <c r="C12" s="16" t="s">
        <v>9</v>
      </c>
      <c r="D12" s="21" t="s">
        <v>142</v>
      </c>
      <c r="E12" s="21" t="s">
        <v>105</v>
      </c>
      <c r="F12" s="120">
        <v>8302420000</v>
      </c>
      <c r="G12" s="42">
        <v>20250</v>
      </c>
      <c r="H12" s="42" t="s">
        <v>152</v>
      </c>
      <c r="I12" s="9">
        <v>0.27460000000000001</v>
      </c>
      <c r="J12" s="13">
        <f t="shared" si="0"/>
        <v>5560.6500000000005</v>
      </c>
      <c r="K12" s="124">
        <v>750</v>
      </c>
      <c r="L12" s="116">
        <f t="shared" si="1"/>
        <v>27</v>
      </c>
      <c r="M12" s="123">
        <v>364.5</v>
      </c>
      <c r="N12" s="15">
        <v>378</v>
      </c>
      <c r="O12" s="33">
        <v>13.5</v>
      </c>
      <c r="P12" s="33">
        <v>14</v>
      </c>
      <c r="Q12" s="33">
        <v>38</v>
      </c>
      <c r="R12" s="33">
        <v>24.5</v>
      </c>
      <c r="S12" s="33">
        <v>16.5</v>
      </c>
    </row>
    <row r="13" spans="1:56" ht="41.25" customHeight="1">
      <c r="A13" s="128"/>
      <c r="B13" s="8" t="s">
        <v>17</v>
      </c>
      <c r="C13" s="16" t="s">
        <v>10</v>
      </c>
      <c r="D13" s="21" t="s">
        <v>143</v>
      </c>
      <c r="E13" s="21" t="s">
        <v>105</v>
      </c>
      <c r="F13" s="120">
        <v>8302420000</v>
      </c>
      <c r="G13" s="42">
        <v>20250</v>
      </c>
      <c r="H13" s="42" t="s">
        <v>152</v>
      </c>
      <c r="I13" s="9">
        <v>0.27460000000000001</v>
      </c>
      <c r="J13" s="13">
        <f t="shared" si="0"/>
        <v>5560.6500000000005</v>
      </c>
      <c r="K13" s="124">
        <v>750</v>
      </c>
      <c r="L13" s="116">
        <f t="shared" si="1"/>
        <v>27</v>
      </c>
      <c r="M13" s="123">
        <v>364.5</v>
      </c>
      <c r="N13" s="15">
        <v>378</v>
      </c>
      <c r="O13" s="33">
        <v>13.5</v>
      </c>
      <c r="P13" s="33">
        <v>14</v>
      </c>
      <c r="Q13" s="33">
        <v>38</v>
      </c>
      <c r="R13" s="33">
        <v>24.5</v>
      </c>
      <c r="S13" s="33">
        <v>16.5</v>
      </c>
    </row>
    <row r="14" spans="1:56" ht="65.25" customHeight="1">
      <c r="A14" s="18"/>
      <c r="B14" s="8" t="s">
        <v>18</v>
      </c>
      <c r="C14" s="16">
        <v>26021</v>
      </c>
      <c r="D14" s="17" t="s">
        <v>144</v>
      </c>
      <c r="E14" s="17" t="s">
        <v>106</v>
      </c>
      <c r="F14" s="14">
        <v>8302420000</v>
      </c>
      <c r="G14" s="42">
        <v>10000</v>
      </c>
      <c r="H14" s="42" t="s">
        <v>151</v>
      </c>
      <c r="I14" s="9">
        <v>2.9493</v>
      </c>
      <c r="J14" s="13">
        <f t="shared" si="0"/>
        <v>29493</v>
      </c>
      <c r="K14" s="124">
        <v>100</v>
      </c>
      <c r="L14" s="116">
        <f t="shared" si="1"/>
        <v>100</v>
      </c>
      <c r="M14" s="123">
        <v>1600</v>
      </c>
      <c r="N14" s="15">
        <v>1650</v>
      </c>
      <c r="O14" s="33">
        <v>15.5</v>
      </c>
      <c r="P14" s="33">
        <v>16</v>
      </c>
      <c r="Q14" s="33">
        <v>49.5</v>
      </c>
      <c r="R14" s="33">
        <v>20.5</v>
      </c>
      <c r="S14" s="33">
        <v>15</v>
      </c>
    </row>
    <row r="15" spans="1:56" ht="60.75" customHeight="1">
      <c r="A15" s="22"/>
      <c r="B15" s="8" t="s">
        <v>19</v>
      </c>
      <c r="C15" s="16">
        <v>14115</v>
      </c>
      <c r="D15" s="17" t="s">
        <v>2</v>
      </c>
      <c r="E15" s="17" t="s">
        <v>107</v>
      </c>
      <c r="F15" s="14">
        <v>7318190008</v>
      </c>
      <c r="G15" s="42">
        <v>200000</v>
      </c>
      <c r="H15" s="42" t="s">
        <v>152</v>
      </c>
      <c r="I15" s="9">
        <v>6.1400000000000003E-2</v>
      </c>
      <c r="J15" s="13">
        <f t="shared" si="0"/>
        <v>12280</v>
      </c>
      <c r="K15" s="124">
        <v>2500</v>
      </c>
      <c r="L15" s="116">
        <f t="shared" si="1"/>
        <v>80</v>
      </c>
      <c r="M15" s="123">
        <v>907.2</v>
      </c>
      <c r="N15" s="15">
        <v>926.4</v>
      </c>
      <c r="O15" s="33">
        <v>11.3</v>
      </c>
      <c r="P15" s="33">
        <v>11.5</v>
      </c>
      <c r="Q15" s="33">
        <v>30</v>
      </c>
      <c r="R15" s="33">
        <v>19</v>
      </c>
      <c r="S15" s="33">
        <v>13</v>
      </c>
    </row>
    <row r="16" spans="1:56" ht="60.75" customHeight="1">
      <c r="A16" s="18"/>
      <c r="B16" s="35" t="s">
        <v>51</v>
      </c>
      <c r="C16" s="16" t="s">
        <v>52</v>
      </c>
      <c r="D16" s="17" t="s">
        <v>53</v>
      </c>
      <c r="E16" s="17" t="s">
        <v>108</v>
      </c>
      <c r="F16" s="14">
        <v>8302420000</v>
      </c>
      <c r="G16" s="42">
        <f>1000000/2</f>
        <v>500000</v>
      </c>
      <c r="H16" s="42" t="s">
        <v>152</v>
      </c>
      <c r="I16" s="9">
        <v>8.5800000000000001E-2</v>
      </c>
      <c r="J16" s="13">
        <f t="shared" si="0"/>
        <v>42900</v>
      </c>
      <c r="K16" s="124">
        <v>5000</v>
      </c>
      <c r="L16" s="116">
        <f t="shared" si="1"/>
        <v>100</v>
      </c>
      <c r="M16" s="15">
        <v>1550</v>
      </c>
      <c r="N16" s="15">
        <v>1570</v>
      </c>
      <c r="O16" s="33">
        <v>15.5</v>
      </c>
      <c r="P16" s="33">
        <v>15.7</v>
      </c>
      <c r="Q16" s="33">
        <v>32</v>
      </c>
      <c r="R16" s="33">
        <v>23.5</v>
      </c>
      <c r="S16" s="33">
        <v>18</v>
      </c>
      <c r="T16" s="37"/>
    </row>
    <row r="17" spans="1:20" ht="60.75" customHeight="1">
      <c r="A17" s="18"/>
      <c r="B17" s="35" t="s">
        <v>54</v>
      </c>
      <c r="C17" s="16" t="s">
        <v>55</v>
      </c>
      <c r="D17" s="17" t="s">
        <v>145</v>
      </c>
      <c r="E17" s="17" t="s">
        <v>109</v>
      </c>
      <c r="F17" s="14">
        <v>7318190008</v>
      </c>
      <c r="G17" s="42">
        <v>750000</v>
      </c>
      <c r="H17" s="42" t="s">
        <v>151</v>
      </c>
      <c r="I17" s="9">
        <v>3.5299999999999998E-2</v>
      </c>
      <c r="J17" s="13">
        <f t="shared" si="0"/>
        <v>26475</v>
      </c>
      <c r="K17" s="124">
        <v>2500</v>
      </c>
      <c r="L17" s="116">
        <f t="shared" si="1"/>
        <v>300</v>
      </c>
      <c r="M17" s="15">
        <v>3240</v>
      </c>
      <c r="N17" s="15">
        <v>3300</v>
      </c>
      <c r="O17" s="33">
        <v>10.8</v>
      </c>
      <c r="P17" s="33">
        <v>11</v>
      </c>
      <c r="Q17" s="33">
        <v>31</v>
      </c>
      <c r="R17" s="33">
        <v>21</v>
      </c>
      <c r="S17" s="33">
        <v>12.5</v>
      </c>
      <c r="T17" s="37"/>
    </row>
    <row r="18" spans="1:20" ht="60.75" customHeight="1">
      <c r="A18" s="36"/>
      <c r="B18" s="38" t="s">
        <v>56</v>
      </c>
      <c r="C18" s="39">
        <v>14011</v>
      </c>
      <c r="D18" s="40" t="s">
        <v>57</v>
      </c>
      <c r="E18" s="40" t="s">
        <v>110</v>
      </c>
      <c r="F18" s="121">
        <v>8302420000</v>
      </c>
      <c r="G18" s="42">
        <f>1000000/2</f>
        <v>500000</v>
      </c>
      <c r="H18" s="42" t="s">
        <v>152</v>
      </c>
      <c r="I18" s="9">
        <v>9.6299999999999997E-2</v>
      </c>
      <c r="J18" s="13">
        <f t="shared" si="0"/>
        <v>48150</v>
      </c>
      <c r="K18" s="124">
        <v>5000</v>
      </c>
      <c r="L18" s="116">
        <f t="shared" si="1"/>
        <v>100</v>
      </c>
      <c r="M18" s="15">
        <v>1730</v>
      </c>
      <c r="N18" s="15">
        <v>1780</v>
      </c>
      <c r="O18" s="33">
        <v>17.3</v>
      </c>
      <c r="P18" s="33">
        <v>17.8</v>
      </c>
      <c r="Q18" s="33">
        <v>33</v>
      </c>
      <c r="R18" s="33">
        <v>24</v>
      </c>
      <c r="S18" s="33">
        <v>18</v>
      </c>
      <c r="T18" s="37"/>
    </row>
    <row r="19" spans="1:20" ht="73.5" customHeight="1">
      <c r="A19" s="18"/>
      <c r="B19" s="8" t="s">
        <v>20</v>
      </c>
      <c r="C19" s="16">
        <v>11001</v>
      </c>
      <c r="D19" s="17" t="s">
        <v>25</v>
      </c>
      <c r="E19" s="17" t="s">
        <v>111</v>
      </c>
      <c r="F19" s="14">
        <v>9403990001</v>
      </c>
      <c r="G19" s="42">
        <v>2000</v>
      </c>
      <c r="H19" s="42" t="s">
        <v>152</v>
      </c>
      <c r="I19" s="9">
        <v>1.0434000000000001</v>
      </c>
      <c r="J19" s="13">
        <f t="shared" si="0"/>
        <v>2086.8000000000002</v>
      </c>
      <c r="K19" s="124">
        <v>100</v>
      </c>
      <c r="L19" s="116">
        <f t="shared" si="1"/>
        <v>20</v>
      </c>
      <c r="M19" s="15">
        <v>170</v>
      </c>
      <c r="N19" s="15">
        <v>176</v>
      </c>
      <c r="O19" s="33">
        <v>8.5</v>
      </c>
      <c r="P19" s="33">
        <v>8.8000000000000007</v>
      </c>
      <c r="Q19" s="33">
        <v>33</v>
      </c>
      <c r="R19" s="33">
        <v>27</v>
      </c>
      <c r="S19" s="33">
        <v>22</v>
      </c>
    </row>
    <row r="20" spans="1:20" ht="51" customHeight="1">
      <c r="A20" s="126"/>
      <c r="B20" s="8" t="s">
        <v>34</v>
      </c>
      <c r="C20" s="16" t="s">
        <v>26</v>
      </c>
      <c r="D20" s="21" t="s">
        <v>49</v>
      </c>
      <c r="E20" s="17" t="s">
        <v>113</v>
      </c>
      <c r="F20" s="14">
        <v>9403990001</v>
      </c>
      <c r="G20" s="42">
        <v>2000</v>
      </c>
      <c r="H20" s="42" t="s">
        <v>152</v>
      </c>
      <c r="I20" s="9">
        <v>3.3666299999999998</v>
      </c>
      <c r="J20" s="13">
        <f t="shared" si="0"/>
        <v>6733.2599999999993</v>
      </c>
      <c r="K20" s="124">
        <v>100</v>
      </c>
      <c r="L20" s="116">
        <f t="shared" si="1"/>
        <v>20</v>
      </c>
      <c r="M20" s="15">
        <v>396</v>
      </c>
      <c r="N20" s="15">
        <v>406</v>
      </c>
      <c r="O20" s="33">
        <v>19.8</v>
      </c>
      <c r="P20" s="33">
        <v>20.3</v>
      </c>
      <c r="Q20" s="33">
        <v>55</v>
      </c>
      <c r="R20" s="33">
        <v>24.5</v>
      </c>
      <c r="S20" s="33">
        <v>29</v>
      </c>
    </row>
    <row r="21" spans="1:20" ht="51" customHeight="1">
      <c r="A21" s="127"/>
      <c r="B21" s="31">
        <v>904173</v>
      </c>
      <c r="C21" s="29" t="s">
        <v>43</v>
      </c>
      <c r="D21" s="21" t="s">
        <v>48</v>
      </c>
      <c r="E21" s="118" t="s">
        <v>114</v>
      </c>
      <c r="F21" s="14">
        <v>9403990001</v>
      </c>
      <c r="G21" s="43">
        <v>2000</v>
      </c>
      <c r="H21" s="42" t="s">
        <v>152</v>
      </c>
      <c r="I21" s="26">
        <v>4.8851100000000001</v>
      </c>
      <c r="J21" s="13">
        <f t="shared" si="0"/>
        <v>9770.2199999999993</v>
      </c>
      <c r="K21" s="124">
        <v>100</v>
      </c>
      <c r="L21" s="116">
        <f t="shared" si="1"/>
        <v>20</v>
      </c>
      <c r="M21" s="15">
        <v>396</v>
      </c>
      <c r="N21" s="15">
        <v>406</v>
      </c>
      <c r="O21" s="33">
        <v>19.8</v>
      </c>
      <c r="P21" s="33">
        <v>20.3</v>
      </c>
      <c r="Q21" s="33">
        <v>55</v>
      </c>
      <c r="R21" s="33">
        <v>24.5</v>
      </c>
      <c r="S21" s="33">
        <v>29</v>
      </c>
    </row>
    <row r="22" spans="1:20" ht="53.25" customHeight="1">
      <c r="A22" s="128"/>
      <c r="B22" s="8" t="s">
        <v>33</v>
      </c>
      <c r="C22" s="16" t="s">
        <v>26</v>
      </c>
      <c r="D22" s="34" t="s">
        <v>50</v>
      </c>
      <c r="E22" s="34" t="s">
        <v>115</v>
      </c>
      <c r="F22" s="14">
        <v>9403990001</v>
      </c>
      <c r="G22" s="42">
        <v>2000</v>
      </c>
      <c r="H22" s="42" t="s">
        <v>152</v>
      </c>
      <c r="I22" s="26">
        <v>4.8851100000000001</v>
      </c>
      <c r="J22" s="13">
        <f t="shared" si="0"/>
        <v>9770.2199999999993</v>
      </c>
      <c r="K22" s="124">
        <v>100</v>
      </c>
      <c r="L22" s="116">
        <f t="shared" si="1"/>
        <v>20</v>
      </c>
      <c r="M22" s="15">
        <v>396</v>
      </c>
      <c r="N22" s="15">
        <v>406</v>
      </c>
      <c r="O22" s="33">
        <v>19.8</v>
      </c>
      <c r="P22" s="33">
        <v>20.3</v>
      </c>
      <c r="Q22" s="33">
        <v>55</v>
      </c>
      <c r="R22" s="33">
        <v>24.5</v>
      </c>
      <c r="S22" s="33">
        <v>29</v>
      </c>
    </row>
    <row r="23" spans="1:20" ht="70.5" customHeight="1">
      <c r="A23" s="18"/>
      <c r="B23" s="8" t="s">
        <v>37</v>
      </c>
      <c r="C23" s="16" t="s">
        <v>27</v>
      </c>
      <c r="D23" s="17" t="s">
        <v>28</v>
      </c>
      <c r="E23" s="17" t="s">
        <v>116</v>
      </c>
      <c r="F23" s="14">
        <v>8302420000</v>
      </c>
      <c r="G23" s="42">
        <v>40000</v>
      </c>
      <c r="H23" s="42" t="s">
        <v>152</v>
      </c>
      <c r="I23" s="9">
        <v>6.4399999999999999E-2</v>
      </c>
      <c r="J23" s="13">
        <f t="shared" si="0"/>
        <v>2576</v>
      </c>
      <c r="K23" s="125">
        <v>5000</v>
      </c>
      <c r="L23" s="116">
        <f t="shared" si="1"/>
        <v>8</v>
      </c>
      <c r="M23" s="15">
        <v>80</v>
      </c>
      <c r="N23" s="15">
        <v>80.8</v>
      </c>
      <c r="O23" s="33">
        <v>10</v>
      </c>
      <c r="P23" s="33">
        <v>10.1</v>
      </c>
      <c r="Q23" s="33">
        <v>27</v>
      </c>
      <c r="R23" s="33">
        <v>29</v>
      </c>
      <c r="S23" s="33">
        <v>14</v>
      </c>
    </row>
    <row r="24" spans="1:20" ht="70.5" customHeight="1">
      <c r="A24" s="18"/>
      <c r="B24" s="8" t="s">
        <v>38</v>
      </c>
      <c r="C24" s="16" t="s">
        <v>29</v>
      </c>
      <c r="D24" s="17" t="s">
        <v>40</v>
      </c>
      <c r="E24" s="17" t="s">
        <v>117</v>
      </c>
      <c r="F24" s="14">
        <v>8302420000</v>
      </c>
      <c r="G24" s="42">
        <v>40000</v>
      </c>
      <c r="H24" s="42" t="s">
        <v>152</v>
      </c>
      <c r="I24" s="9">
        <v>0.13320000000000001</v>
      </c>
      <c r="J24" s="13">
        <f t="shared" si="0"/>
        <v>5328.0000000000009</v>
      </c>
      <c r="K24" s="125">
        <v>5000</v>
      </c>
      <c r="L24" s="116">
        <f t="shared" si="1"/>
        <v>8</v>
      </c>
      <c r="M24" s="15">
        <v>133.6</v>
      </c>
      <c r="N24" s="15">
        <v>135.19999999999999</v>
      </c>
      <c r="O24" s="33">
        <v>16.7</v>
      </c>
      <c r="P24" s="33">
        <v>16.899999999999999</v>
      </c>
      <c r="Q24" s="33">
        <v>26.5</v>
      </c>
      <c r="R24" s="33">
        <v>19</v>
      </c>
      <c r="S24" s="33">
        <v>15</v>
      </c>
    </row>
    <row r="25" spans="1:20" ht="70.5" customHeight="1">
      <c r="A25" s="4"/>
      <c r="B25" s="8" t="s">
        <v>35</v>
      </c>
      <c r="C25" s="16" t="s">
        <v>30</v>
      </c>
      <c r="D25" s="17" t="s">
        <v>40</v>
      </c>
      <c r="E25" s="17" t="s">
        <v>117</v>
      </c>
      <c r="F25" s="14">
        <v>8302420000</v>
      </c>
      <c r="G25" s="42">
        <v>40000</v>
      </c>
      <c r="H25" s="42" t="s">
        <v>152</v>
      </c>
      <c r="I25" s="9">
        <v>0.13220000000000001</v>
      </c>
      <c r="J25" s="13">
        <f t="shared" si="0"/>
        <v>5288.0000000000009</v>
      </c>
      <c r="K25" s="125">
        <v>5000</v>
      </c>
      <c r="L25" s="116">
        <f t="shared" si="1"/>
        <v>8</v>
      </c>
      <c r="M25" s="15">
        <v>166.4</v>
      </c>
      <c r="N25" s="15">
        <v>168.8</v>
      </c>
      <c r="O25" s="33">
        <v>20.8</v>
      </c>
      <c r="P25" s="33">
        <v>21.1</v>
      </c>
      <c r="Q25" s="33">
        <v>32</v>
      </c>
      <c r="R25" s="33">
        <v>23</v>
      </c>
      <c r="S25" s="33">
        <v>17</v>
      </c>
    </row>
    <row r="26" spans="1:20" ht="70.5" customHeight="1">
      <c r="A26" s="4"/>
      <c r="B26" s="8" t="s">
        <v>36</v>
      </c>
      <c r="C26" s="16" t="s">
        <v>31</v>
      </c>
      <c r="D26" s="17" t="s">
        <v>32</v>
      </c>
      <c r="E26" s="17" t="s">
        <v>118</v>
      </c>
      <c r="F26" s="14">
        <v>8302420000</v>
      </c>
      <c r="G26" s="42">
        <v>40000</v>
      </c>
      <c r="H26" s="42" t="s">
        <v>152</v>
      </c>
      <c r="I26" s="9">
        <v>9.6600000000000005E-2</v>
      </c>
      <c r="J26" s="13">
        <f t="shared" si="0"/>
        <v>3864</v>
      </c>
      <c r="K26" s="125">
        <v>5000</v>
      </c>
      <c r="L26" s="116">
        <f t="shared" si="1"/>
        <v>8</v>
      </c>
      <c r="M26" s="15">
        <v>84</v>
      </c>
      <c r="N26" s="15">
        <v>84.8</v>
      </c>
      <c r="O26" s="33">
        <v>10.5</v>
      </c>
      <c r="P26" s="33">
        <v>10.6</v>
      </c>
      <c r="Q26" s="33">
        <v>27</v>
      </c>
      <c r="R26" s="33">
        <v>29</v>
      </c>
      <c r="S26" s="33">
        <v>14</v>
      </c>
    </row>
    <row r="27" spans="1:20" ht="70.5" customHeight="1">
      <c r="A27" s="18"/>
      <c r="B27" s="8" t="s">
        <v>41</v>
      </c>
      <c r="C27" s="16" t="s">
        <v>42</v>
      </c>
      <c r="D27" s="17" t="s">
        <v>32</v>
      </c>
      <c r="E27" s="17" t="s">
        <v>118</v>
      </c>
      <c r="F27" s="14">
        <v>8302420000</v>
      </c>
      <c r="G27" s="42">
        <v>40000</v>
      </c>
      <c r="H27" s="42" t="s">
        <v>152</v>
      </c>
      <c r="I27" s="9">
        <v>0.13100000000000001</v>
      </c>
      <c r="J27" s="13">
        <f t="shared" si="0"/>
        <v>5240</v>
      </c>
      <c r="K27" s="125">
        <v>5000</v>
      </c>
      <c r="L27" s="116">
        <f t="shared" si="1"/>
        <v>8</v>
      </c>
      <c r="M27" s="15">
        <v>144</v>
      </c>
      <c r="N27" s="15">
        <v>146.4</v>
      </c>
      <c r="O27" s="33">
        <v>18</v>
      </c>
      <c r="P27" s="33">
        <v>18.3</v>
      </c>
      <c r="Q27" s="33">
        <v>32</v>
      </c>
      <c r="R27" s="33">
        <v>23</v>
      </c>
      <c r="S27" s="33">
        <v>17</v>
      </c>
    </row>
    <row r="28" spans="1:20" ht="83.4" customHeight="1">
      <c r="A28" s="126"/>
      <c r="B28" s="31">
        <v>612034</v>
      </c>
      <c r="C28" s="30" t="s">
        <v>44</v>
      </c>
      <c r="D28" s="119" t="s">
        <v>146</v>
      </c>
      <c r="E28" s="21" t="s">
        <v>119</v>
      </c>
      <c r="F28" s="120">
        <v>9403990001</v>
      </c>
      <c r="G28" s="43">
        <v>200</v>
      </c>
      <c r="H28" s="43" t="s">
        <v>151</v>
      </c>
      <c r="I28" s="9">
        <v>84.000000000000014</v>
      </c>
      <c r="J28" s="13">
        <f t="shared" si="0"/>
        <v>16800.000000000004</v>
      </c>
      <c r="K28" s="125">
        <v>2</v>
      </c>
      <c r="L28" s="116">
        <f t="shared" si="1"/>
        <v>100</v>
      </c>
      <c r="M28" s="15">
        <v>844.99999999999989</v>
      </c>
      <c r="N28" s="15">
        <v>925</v>
      </c>
      <c r="O28" s="33">
        <v>8.8000000000000007</v>
      </c>
      <c r="P28" s="33">
        <v>9.4</v>
      </c>
      <c r="Q28" s="33">
        <v>51</v>
      </c>
      <c r="R28" s="33">
        <v>33</v>
      </c>
      <c r="S28" s="33">
        <v>44.5</v>
      </c>
    </row>
    <row r="29" spans="1:20" ht="91.2" customHeight="1">
      <c r="A29" s="128"/>
      <c r="B29" s="31">
        <v>612035</v>
      </c>
      <c r="C29" s="32" t="s">
        <v>45</v>
      </c>
      <c r="D29" s="119" t="s">
        <v>147</v>
      </c>
      <c r="E29" s="21" t="s">
        <v>120</v>
      </c>
      <c r="F29" s="120">
        <v>9403990001</v>
      </c>
      <c r="G29" s="43">
        <v>100</v>
      </c>
      <c r="H29" s="43" t="s">
        <v>151</v>
      </c>
      <c r="I29" s="9">
        <v>98.000000000000014</v>
      </c>
      <c r="J29" s="13">
        <f t="shared" si="0"/>
        <v>9800.0000000000018</v>
      </c>
      <c r="K29" s="125">
        <v>2</v>
      </c>
      <c r="L29" s="116">
        <f t="shared" si="1"/>
        <v>50</v>
      </c>
      <c r="M29" s="15">
        <v>472.49999999999994</v>
      </c>
      <c r="N29" s="15">
        <v>512.5</v>
      </c>
      <c r="O29" s="33">
        <v>9.4499999999999993</v>
      </c>
      <c r="P29" s="33">
        <v>10.25</v>
      </c>
      <c r="Q29" s="33">
        <v>71</v>
      </c>
      <c r="R29" s="33">
        <v>30</v>
      </c>
      <c r="S29" s="33">
        <v>46</v>
      </c>
    </row>
    <row r="30" spans="1:20" ht="80.25" customHeight="1">
      <c r="A30" s="18"/>
      <c r="B30" s="31">
        <v>309216</v>
      </c>
      <c r="C30" s="30">
        <v>14207</v>
      </c>
      <c r="D30" s="28" t="s">
        <v>46</v>
      </c>
      <c r="E30" s="119" t="s">
        <v>121</v>
      </c>
      <c r="F30" s="122">
        <v>7318190008</v>
      </c>
      <c r="G30" s="44">
        <v>10150</v>
      </c>
      <c r="H30" s="44" t="s">
        <v>152</v>
      </c>
      <c r="I30" s="27">
        <v>0.50849999999999995</v>
      </c>
      <c r="J30" s="13">
        <f t="shared" si="0"/>
        <v>5161.2749999999996</v>
      </c>
      <c r="K30" s="125">
        <v>350</v>
      </c>
      <c r="L30" s="116">
        <f t="shared" si="1"/>
        <v>29</v>
      </c>
      <c r="M30" s="15">
        <v>455.29999999999995</v>
      </c>
      <c r="N30" s="15">
        <v>464</v>
      </c>
      <c r="O30" s="33">
        <v>15.7</v>
      </c>
      <c r="P30" s="33">
        <v>16</v>
      </c>
      <c r="Q30" s="33">
        <v>36.5</v>
      </c>
      <c r="R30" s="33">
        <v>22</v>
      </c>
      <c r="S30" s="33">
        <v>10</v>
      </c>
    </row>
    <row r="31" spans="1:20" ht="80.25" customHeight="1">
      <c r="A31" s="18"/>
      <c r="B31" s="31">
        <v>904170</v>
      </c>
      <c r="C31" s="32">
        <v>11020</v>
      </c>
      <c r="D31" s="28" t="s">
        <v>47</v>
      </c>
      <c r="E31" s="119" t="s">
        <v>112</v>
      </c>
      <c r="F31" s="122">
        <v>9403990001</v>
      </c>
      <c r="G31" s="44">
        <v>1000</v>
      </c>
      <c r="H31" s="44" t="s">
        <v>152</v>
      </c>
      <c r="I31" s="27">
        <v>2.75</v>
      </c>
      <c r="J31" s="13">
        <f t="shared" si="0"/>
        <v>2750</v>
      </c>
      <c r="K31" s="125">
        <v>100</v>
      </c>
      <c r="L31" s="116">
        <f t="shared" si="1"/>
        <v>10</v>
      </c>
      <c r="M31" s="15">
        <v>110</v>
      </c>
      <c r="N31" s="15">
        <v>115</v>
      </c>
      <c r="O31" s="33">
        <v>12.5</v>
      </c>
      <c r="P31" s="33">
        <v>12.8</v>
      </c>
      <c r="Q31" s="33">
        <v>56</v>
      </c>
      <c r="R31" s="33">
        <v>32</v>
      </c>
      <c r="S31" s="33">
        <v>27</v>
      </c>
    </row>
    <row r="32" spans="1:20" ht="113.4" customHeight="1">
      <c r="A32" s="18"/>
      <c r="B32" s="31">
        <v>903126</v>
      </c>
      <c r="C32" s="32">
        <v>10011</v>
      </c>
      <c r="D32" s="119" t="s">
        <v>122</v>
      </c>
      <c r="E32" s="119" t="s">
        <v>132</v>
      </c>
      <c r="F32" s="122">
        <v>8302200000</v>
      </c>
      <c r="G32" s="44">
        <v>2000</v>
      </c>
      <c r="H32" s="44" t="s">
        <v>152</v>
      </c>
      <c r="I32" s="9">
        <v>1.0192000000000001</v>
      </c>
      <c r="J32" s="13">
        <f t="shared" si="0"/>
        <v>2038.4000000000003</v>
      </c>
      <c r="K32" s="125">
        <v>100</v>
      </c>
      <c r="L32" s="116">
        <v>10</v>
      </c>
      <c r="M32" s="15">
        <v>167</v>
      </c>
      <c r="N32" s="15">
        <v>175</v>
      </c>
    </row>
    <row r="33" spans="1:22" ht="80.25" customHeight="1">
      <c r="A33" s="126"/>
      <c r="B33" s="31">
        <v>903127</v>
      </c>
      <c r="C33" s="32" t="s">
        <v>123</v>
      </c>
      <c r="D33" s="119" t="s">
        <v>124</v>
      </c>
      <c r="E33" s="119" t="s">
        <v>133</v>
      </c>
      <c r="F33" s="122">
        <v>8302200000</v>
      </c>
      <c r="G33" s="44">
        <v>2000</v>
      </c>
      <c r="H33" s="44" t="s">
        <v>152</v>
      </c>
      <c r="I33" s="9">
        <v>0.32190000000000002</v>
      </c>
      <c r="J33" s="13">
        <f t="shared" si="0"/>
        <v>643.80000000000007</v>
      </c>
      <c r="K33" s="125">
        <v>100</v>
      </c>
      <c r="L33" s="116">
        <v>2</v>
      </c>
      <c r="M33" s="15">
        <v>36</v>
      </c>
      <c r="N33" s="15">
        <v>37</v>
      </c>
    </row>
    <row r="34" spans="1:22" ht="80.25" customHeight="1">
      <c r="A34" s="127"/>
      <c r="B34" s="31">
        <v>903128</v>
      </c>
      <c r="C34" s="32" t="s">
        <v>123</v>
      </c>
      <c r="D34" s="119" t="s">
        <v>125</v>
      </c>
      <c r="E34" s="119" t="s">
        <v>134</v>
      </c>
      <c r="F34" s="122">
        <v>8302200000</v>
      </c>
      <c r="G34" s="44">
        <v>2000</v>
      </c>
      <c r="H34" s="44" t="s">
        <v>152</v>
      </c>
      <c r="I34" s="9">
        <v>0.43290000000000001</v>
      </c>
      <c r="J34" s="13">
        <f t="shared" si="0"/>
        <v>865.80000000000007</v>
      </c>
      <c r="K34" s="125">
        <v>100</v>
      </c>
      <c r="L34" s="116">
        <v>4</v>
      </c>
      <c r="M34" s="15">
        <v>58</v>
      </c>
      <c r="N34" s="15">
        <v>60</v>
      </c>
    </row>
    <row r="35" spans="1:22" ht="80.25" customHeight="1">
      <c r="A35" s="128"/>
      <c r="B35" s="31">
        <v>903130</v>
      </c>
      <c r="C35" s="32" t="s">
        <v>123</v>
      </c>
      <c r="D35" s="119" t="s">
        <v>126</v>
      </c>
      <c r="E35" s="119" t="s">
        <v>135</v>
      </c>
      <c r="F35" s="122">
        <v>8302200000</v>
      </c>
      <c r="G35" s="44">
        <v>2000</v>
      </c>
      <c r="H35" s="44" t="s">
        <v>152</v>
      </c>
      <c r="I35" s="9">
        <v>0.69930000000000003</v>
      </c>
      <c r="J35" s="13">
        <f t="shared" si="0"/>
        <v>1398.6000000000001</v>
      </c>
      <c r="K35" s="125">
        <v>100</v>
      </c>
      <c r="L35" s="116">
        <v>4</v>
      </c>
      <c r="M35" s="15">
        <v>96</v>
      </c>
      <c r="N35" s="15">
        <v>98.4</v>
      </c>
    </row>
    <row r="36" spans="1:22" ht="101.4" customHeight="1">
      <c r="A36" s="18"/>
      <c r="B36" s="31">
        <v>904185</v>
      </c>
      <c r="C36" s="32" t="s">
        <v>127</v>
      </c>
      <c r="D36" s="119" t="s">
        <v>128</v>
      </c>
      <c r="E36" s="119" t="s">
        <v>136</v>
      </c>
      <c r="F36" s="122">
        <v>9403990001</v>
      </c>
      <c r="G36" s="44">
        <v>2000</v>
      </c>
      <c r="H36" s="44" t="s">
        <v>152</v>
      </c>
      <c r="I36" s="9">
        <v>2.5760000000000001</v>
      </c>
      <c r="J36" s="13">
        <f t="shared" si="0"/>
        <v>5152</v>
      </c>
      <c r="K36" s="125">
        <v>100</v>
      </c>
      <c r="L36" s="116">
        <v>5</v>
      </c>
      <c r="M36" s="15">
        <v>131.5</v>
      </c>
      <c r="N36" s="15">
        <v>136.5</v>
      </c>
    </row>
    <row r="37" spans="1:22" ht="102.6" customHeight="1">
      <c r="A37" s="18"/>
      <c r="B37" s="31">
        <v>904186</v>
      </c>
      <c r="C37" s="32" t="s">
        <v>129</v>
      </c>
      <c r="D37" s="119" t="s">
        <v>130</v>
      </c>
      <c r="E37" s="119" t="s">
        <v>137</v>
      </c>
      <c r="F37" s="122">
        <v>9403990001</v>
      </c>
      <c r="G37" s="44">
        <v>2400</v>
      </c>
      <c r="H37" s="44" t="s">
        <v>152</v>
      </c>
      <c r="I37" s="9">
        <v>3.7900800000000001</v>
      </c>
      <c r="J37" s="13">
        <f t="shared" si="0"/>
        <v>9096.1920000000009</v>
      </c>
      <c r="K37" s="125">
        <v>100</v>
      </c>
      <c r="L37" s="116">
        <v>24</v>
      </c>
      <c r="M37" s="15">
        <v>408.96</v>
      </c>
      <c r="N37" s="15">
        <v>420.96</v>
      </c>
    </row>
    <row r="38" spans="1:22" s="115" customFormat="1" ht="50.25" customHeight="1">
      <c r="A38" s="106" t="s">
        <v>1</v>
      </c>
      <c r="B38" s="107"/>
      <c r="C38" s="108"/>
      <c r="D38" s="107"/>
      <c r="E38" s="107"/>
      <c r="F38" s="107"/>
      <c r="G38" s="109">
        <f>SUM(G4:G37)</f>
        <v>2333280</v>
      </c>
      <c r="H38" s="109"/>
      <c r="I38" s="110"/>
      <c r="J38" s="111">
        <f>SUM(J4:J37)</f>
        <v>475638.46699999995</v>
      </c>
      <c r="K38" s="111"/>
      <c r="L38" s="117">
        <f>SUM(L4:L37)</f>
        <v>2522</v>
      </c>
      <c r="M38" s="112">
        <f>SUM(M4:M37)</f>
        <v>23447.96</v>
      </c>
      <c r="N38" s="23">
        <f>SUM(N4:N37)</f>
        <v>24416.260000000002</v>
      </c>
      <c r="O38" s="113"/>
      <c r="P38" s="113"/>
      <c r="Q38" s="113"/>
      <c r="R38" s="113"/>
      <c r="S38" s="113"/>
      <c r="T38" s="114"/>
    </row>
    <row r="39" spans="1:22" s="5" customFormat="1" ht="50.25" customHeight="1">
      <c r="A39" s="2"/>
      <c r="B39" s="2"/>
      <c r="C39" s="10"/>
      <c r="D39" s="11"/>
      <c r="E39" s="11"/>
      <c r="F39" s="11"/>
      <c r="G39" s="41"/>
      <c r="H39" s="41"/>
      <c r="I39" s="19"/>
      <c r="J39" s="3"/>
      <c r="K39" s="3"/>
      <c r="L39" s="2"/>
      <c r="M39" s="2"/>
      <c r="N39" s="2"/>
      <c r="O39" s="33"/>
      <c r="P39" s="33"/>
      <c r="Q39" s="33"/>
      <c r="R39" s="33"/>
      <c r="S39" s="33"/>
      <c r="T39" s="11"/>
    </row>
    <row r="40" spans="1:22" s="60" customFormat="1" ht="15.6">
      <c r="A40" s="59" t="s">
        <v>153</v>
      </c>
      <c r="B40" s="59"/>
      <c r="C40" s="59"/>
      <c r="E40" s="61"/>
      <c r="F40" s="61"/>
      <c r="G40" s="62"/>
      <c r="H40" s="62"/>
      <c r="I40" s="63"/>
      <c r="J40" s="64"/>
      <c r="K40" s="64"/>
      <c r="L40" s="61"/>
      <c r="M40" s="61"/>
      <c r="N40" s="65"/>
      <c r="O40" s="66"/>
      <c r="P40" s="67"/>
      <c r="Q40" s="67"/>
      <c r="R40" s="67"/>
      <c r="S40" s="67"/>
      <c r="U40" s="68"/>
      <c r="V40" s="69"/>
    </row>
    <row r="41" spans="1:22" s="72" customFormat="1" ht="15.6">
      <c r="A41" s="129" t="s">
        <v>79</v>
      </c>
      <c r="B41" s="129"/>
      <c r="C41" s="129"/>
      <c r="D41" s="70"/>
      <c r="E41" s="61"/>
      <c r="F41" s="61"/>
      <c r="G41" s="61"/>
      <c r="H41" s="61"/>
      <c r="I41" s="64"/>
      <c r="J41" s="64"/>
      <c r="K41" s="64"/>
      <c r="L41" s="61"/>
      <c r="M41" s="61"/>
      <c r="N41" s="65"/>
      <c r="O41" s="71"/>
      <c r="P41" s="67"/>
      <c r="Q41" s="67"/>
      <c r="R41" s="67"/>
      <c r="S41" s="67"/>
      <c r="U41" s="73"/>
    </row>
    <row r="42" spans="1:22" s="75" customFormat="1" ht="15.6">
      <c r="A42" s="134" t="s">
        <v>148</v>
      </c>
      <c r="B42" s="134"/>
      <c r="C42" s="134"/>
      <c r="E42" s="76"/>
      <c r="F42" s="76"/>
      <c r="G42" s="77"/>
      <c r="H42" s="77"/>
      <c r="I42" s="77"/>
      <c r="J42" s="76"/>
      <c r="K42" s="76"/>
      <c r="L42" s="76"/>
      <c r="M42" s="76"/>
      <c r="N42" s="76"/>
      <c r="O42" s="76"/>
      <c r="P42" s="76"/>
      <c r="Q42" s="76"/>
      <c r="R42" s="76"/>
      <c r="S42" s="76"/>
      <c r="U42" s="73"/>
    </row>
    <row r="43" spans="1:22" s="75" customFormat="1" ht="17.399999999999999" customHeight="1">
      <c r="A43" s="135" t="s">
        <v>80</v>
      </c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78"/>
      <c r="N43" s="78"/>
      <c r="O43" s="79"/>
      <c r="P43" s="80"/>
      <c r="Q43" s="81"/>
      <c r="R43" s="81"/>
      <c r="S43" s="81"/>
      <c r="U43" s="82"/>
    </row>
    <row r="44" spans="1:22" s="75" customFormat="1" ht="15.6">
      <c r="A44" s="83" t="s">
        <v>131</v>
      </c>
      <c r="B44" s="83"/>
      <c r="C44" s="83"/>
      <c r="D44" s="84"/>
      <c r="E44" s="76"/>
      <c r="F44" s="76"/>
      <c r="G44" s="77"/>
      <c r="H44" s="77"/>
      <c r="I44" s="77"/>
      <c r="J44" s="77"/>
      <c r="K44" s="77"/>
      <c r="L44" s="77"/>
      <c r="M44" s="77"/>
      <c r="N44" s="77"/>
      <c r="O44" s="85"/>
      <c r="P44" s="81"/>
      <c r="Q44" s="81"/>
      <c r="R44" s="81"/>
      <c r="S44" s="81"/>
    </row>
    <row r="45" spans="1:22" s="89" customFormat="1" ht="15.6">
      <c r="A45" s="136" t="s">
        <v>81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86"/>
      <c r="N45" s="86"/>
      <c r="O45" s="86"/>
      <c r="P45" s="87"/>
      <c r="Q45" s="88"/>
      <c r="R45" s="88"/>
      <c r="S45" s="88"/>
      <c r="U45" s="90"/>
    </row>
    <row r="46" spans="1:22" s="89" customFormat="1" ht="15.6">
      <c r="A46" s="136" t="s">
        <v>82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91"/>
      <c r="N46" s="91"/>
      <c r="P46" s="88"/>
      <c r="Q46" s="88"/>
      <c r="R46" s="88"/>
      <c r="S46" s="88"/>
    </row>
    <row r="47" spans="1:22" s="72" customFormat="1" ht="15.6">
      <c r="A47" s="129" t="s">
        <v>138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61"/>
      <c r="P47" s="67"/>
      <c r="Q47" s="67"/>
      <c r="R47" s="67"/>
      <c r="S47" s="67"/>
    </row>
    <row r="48" spans="1:22" s="72" customFormat="1" ht="15.6">
      <c r="A48" s="61"/>
      <c r="B48" s="92"/>
      <c r="C48" s="92"/>
      <c r="D48" s="92"/>
      <c r="E48" s="61"/>
      <c r="F48" s="61"/>
      <c r="G48" s="61"/>
      <c r="H48" s="61"/>
      <c r="I48" s="64"/>
      <c r="J48" s="64"/>
      <c r="K48" s="64"/>
      <c r="L48" s="61"/>
      <c r="M48" s="61"/>
      <c r="N48" s="61"/>
      <c r="P48" s="67" t="s">
        <v>83</v>
      </c>
      <c r="Q48" s="67"/>
      <c r="R48" s="67"/>
      <c r="S48" s="67"/>
    </row>
    <row r="49" spans="1:17" s="100" customFormat="1" ht="15.75" customHeight="1">
      <c r="A49" s="93" t="s">
        <v>84</v>
      </c>
      <c r="B49" s="94"/>
      <c r="C49" s="94"/>
      <c r="D49" s="95"/>
      <c r="E49" s="135" t="s">
        <v>85</v>
      </c>
      <c r="F49" s="135"/>
      <c r="G49" s="135"/>
      <c r="H49" s="78"/>
      <c r="I49" s="78"/>
      <c r="J49" s="78"/>
      <c r="K49" s="96"/>
      <c r="L49" s="97"/>
      <c r="M49" s="97"/>
      <c r="N49" s="98"/>
      <c r="O49" s="99"/>
      <c r="P49" s="99"/>
      <c r="Q49" s="99"/>
    </row>
    <row r="50" spans="1:17" s="100" customFormat="1" ht="32.4" customHeight="1">
      <c r="A50" s="137" t="s">
        <v>86</v>
      </c>
      <c r="B50" s="137"/>
      <c r="C50" s="137"/>
      <c r="D50" s="137"/>
      <c r="E50" s="74" t="s">
        <v>87</v>
      </c>
      <c r="F50" s="74"/>
      <c r="G50" s="77"/>
      <c r="H50" s="77"/>
      <c r="I50" s="78"/>
      <c r="J50" s="78"/>
      <c r="K50" s="96"/>
      <c r="L50" s="97"/>
      <c r="M50" s="97"/>
      <c r="N50" s="98"/>
      <c r="O50" s="99"/>
      <c r="P50" s="99"/>
      <c r="Q50" s="99"/>
    </row>
    <row r="51" spans="1:17" s="100" customFormat="1" ht="15.6">
      <c r="A51" s="93" t="s">
        <v>88</v>
      </c>
      <c r="B51" s="93"/>
      <c r="C51" s="101"/>
      <c r="D51" s="101"/>
      <c r="E51" s="135" t="s">
        <v>89</v>
      </c>
      <c r="F51" s="135"/>
      <c r="G51" s="135"/>
      <c r="H51" s="78"/>
      <c r="I51" s="78"/>
      <c r="J51" s="78"/>
      <c r="K51" s="96"/>
      <c r="L51" s="97"/>
      <c r="M51" s="97"/>
      <c r="N51" s="99"/>
      <c r="O51" s="99"/>
      <c r="P51" s="99"/>
      <c r="Q51" s="99"/>
    </row>
    <row r="52" spans="1:17" s="100" customFormat="1" ht="18" customHeight="1">
      <c r="A52" s="93" t="s">
        <v>90</v>
      </c>
      <c r="B52" s="93"/>
      <c r="C52" s="102"/>
      <c r="D52" s="102"/>
      <c r="E52" s="135" t="s">
        <v>91</v>
      </c>
      <c r="F52" s="135"/>
      <c r="G52" s="135"/>
      <c r="H52" s="135"/>
      <c r="I52" s="135"/>
      <c r="J52" s="78"/>
      <c r="K52" s="96"/>
      <c r="L52" s="97"/>
      <c r="M52" s="97"/>
      <c r="N52" s="99"/>
      <c r="O52" s="99"/>
      <c r="P52" s="99"/>
      <c r="Q52" s="99"/>
    </row>
    <row r="53" spans="1:17" s="100" customFormat="1" ht="19.95" customHeight="1">
      <c r="A53" s="103" t="s">
        <v>92</v>
      </c>
      <c r="B53" s="103"/>
      <c r="C53" s="101"/>
      <c r="D53" s="101"/>
      <c r="E53" s="135" t="s">
        <v>93</v>
      </c>
      <c r="F53" s="135"/>
      <c r="G53" s="135"/>
      <c r="H53" s="135"/>
      <c r="I53" s="135"/>
      <c r="J53" s="135"/>
      <c r="K53" s="135"/>
      <c r="L53" s="104"/>
      <c r="M53" s="104"/>
      <c r="N53" s="99"/>
      <c r="O53" s="99"/>
      <c r="P53" s="99"/>
      <c r="Q53" s="99"/>
    </row>
    <row r="54" spans="1:17" s="100" customFormat="1" ht="19.95" customHeight="1">
      <c r="A54" s="103" t="s">
        <v>94</v>
      </c>
      <c r="B54" s="103"/>
      <c r="C54" s="101"/>
      <c r="D54" s="101"/>
      <c r="E54" s="135" t="s">
        <v>95</v>
      </c>
      <c r="F54" s="135"/>
      <c r="G54" s="135"/>
      <c r="H54" s="135"/>
      <c r="I54" s="135"/>
      <c r="J54" s="135"/>
      <c r="K54" s="135"/>
      <c r="L54" s="104"/>
      <c r="M54" s="104"/>
      <c r="N54" s="99"/>
      <c r="O54" s="99"/>
      <c r="P54" s="99"/>
      <c r="Q54" s="99"/>
    </row>
    <row r="55" spans="1:17" s="100" customFormat="1" ht="15.6">
      <c r="A55" s="105" t="s">
        <v>96</v>
      </c>
      <c r="B55" s="103"/>
      <c r="C55" s="101"/>
      <c r="D55" s="101"/>
      <c r="E55" s="74" t="s">
        <v>97</v>
      </c>
      <c r="F55" s="74"/>
      <c r="G55" s="77"/>
      <c r="H55" s="77"/>
      <c r="I55" s="74"/>
      <c r="J55" s="74"/>
      <c r="K55" s="96"/>
      <c r="L55" s="97"/>
      <c r="M55" s="97"/>
      <c r="N55" s="99"/>
      <c r="O55" s="99"/>
      <c r="P55" s="99"/>
      <c r="Q55" s="99"/>
    </row>
  </sheetData>
  <autoFilter ref="A3:T38">
    <filterColumn colId="16" showButton="0"/>
    <filterColumn colId="17" showButton="0"/>
  </autoFilter>
  <mergeCells count="19">
    <mergeCell ref="E54:K54"/>
    <mergeCell ref="E49:G49"/>
    <mergeCell ref="A50:D50"/>
    <mergeCell ref="E51:G51"/>
    <mergeCell ref="E52:I52"/>
    <mergeCell ref="E53:K53"/>
    <mergeCell ref="A33:A35"/>
    <mergeCell ref="A47:M47"/>
    <mergeCell ref="A28:A29"/>
    <mergeCell ref="A10:A11"/>
    <mergeCell ref="Q3:S3"/>
    <mergeCell ref="A20:A22"/>
    <mergeCell ref="A12:A13"/>
    <mergeCell ref="A4:A9"/>
    <mergeCell ref="A41:C41"/>
    <mergeCell ref="A42:C42"/>
    <mergeCell ref="A43:L43"/>
    <mergeCell ref="A45:L45"/>
    <mergeCell ref="A46:L46"/>
  </mergeCells>
  <phoneticPr fontId="6" type="noConversion"/>
  <conditionalFormatting sqref="A1">
    <cfRule type="duplicateValues" dxfId="32" priority="30"/>
  </conditionalFormatting>
  <conditionalFormatting sqref="A1">
    <cfRule type="duplicateValues" dxfId="31" priority="31"/>
    <cfRule type="duplicateValues" dxfId="30" priority="32"/>
  </conditionalFormatting>
  <conditionalFormatting sqref="A2">
    <cfRule type="duplicateValues" dxfId="29" priority="33"/>
  </conditionalFormatting>
  <conditionalFormatting sqref="O40">
    <cfRule type="duplicateValues" dxfId="28" priority="6"/>
  </conditionalFormatting>
  <conditionalFormatting sqref="O40">
    <cfRule type="duplicateValues" dxfId="27" priority="7"/>
    <cfRule type="duplicateValues" dxfId="26" priority="8"/>
  </conditionalFormatting>
  <conditionalFormatting sqref="L44">
    <cfRule type="duplicateValues" dxfId="25" priority="5"/>
  </conditionalFormatting>
  <conditionalFormatting sqref="K49:K53 K55">
    <cfRule type="duplicateValues" dxfId="24" priority="9"/>
  </conditionalFormatting>
  <conditionalFormatting sqref="A40:A42">
    <cfRule type="duplicateValues" dxfId="23" priority="10"/>
  </conditionalFormatting>
  <conditionalFormatting sqref="A40:A42">
    <cfRule type="duplicateValues" dxfId="22" priority="11"/>
    <cfRule type="duplicateValues" dxfId="21" priority="12"/>
  </conditionalFormatting>
  <conditionalFormatting sqref="A43">
    <cfRule type="duplicateValues" dxfId="20" priority="13"/>
  </conditionalFormatting>
  <conditionalFormatting sqref="A43">
    <cfRule type="duplicateValues" dxfId="19" priority="14"/>
    <cfRule type="duplicateValues" dxfId="18" priority="15"/>
  </conditionalFormatting>
  <conditionalFormatting sqref="A44">
    <cfRule type="duplicateValues" dxfId="17" priority="16"/>
  </conditionalFormatting>
  <conditionalFormatting sqref="A44">
    <cfRule type="duplicateValues" dxfId="16" priority="17"/>
    <cfRule type="duplicateValues" dxfId="15" priority="18"/>
  </conditionalFormatting>
  <conditionalFormatting sqref="A49:A50">
    <cfRule type="duplicateValues" dxfId="14" priority="19"/>
  </conditionalFormatting>
  <conditionalFormatting sqref="A49:A50">
    <cfRule type="duplicateValues" dxfId="13" priority="20"/>
    <cfRule type="duplicateValues" dxfId="12" priority="21"/>
  </conditionalFormatting>
  <conditionalFormatting sqref="A51:A55">
    <cfRule type="duplicateValues" dxfId="11" priority="22"/>
  </conditionalFormatting>
  <conditionalFormatting sqref="A51:A55">
    <cfRule type="duplicateValues" dxfId="10" priority="23"/>
    <cfRule type="duplicateValues" dxfId="9" priority="24"/>
  </conditionalFormatting>
  <conditionalFormatting sqref="L40:L42 L48">
    <cfRule type="duplicateValues" dxfId="8" priority="25"/>
  </conditionalFormatting>
  <conditionalFormatting sqref="A48">
    <cfRule type="duplicateValues" dxfId="7" priority="26"/>
  </conditionalFormatting>
  <conditionalFormatting sqref="A40:A42 A45:A46 A48">
    <cfRule type="duplicateValues" dxfId="6" priority="27"/>
  </conditionalFormatting>
  <conditionalFormatting sqref="A40:A42 A45:A46 A48">
    <cfRule type="duplicateValues" dxfId="5" priority="28"/>
    <cfRule type="duplicateValues" dxfId="4" priority="29"/>
  </conditionalFormatting>
  <conditionalFormatting sqref="A47">
    <cfRule type="duplicateValues" dxfId="3" priority="1"/>
  </conditionalFormatting>
  <conditionalFormatting sqref="A47">
    <cfRule type="duplicateValues" dxfId="2" priority="2"/>
  </conditionalFormatting>
  <conditionalFormatting sqref="A47">
    <cfRule type="duplicateValues" dxfId="1" priority="3"/>
    <cfRule type="duplicateValues" dxfId="0" priority="4"/>
  </conditionalFormatting>
  <pageMargins left="0.70866141732283472" right="0.70866141732283472" top="0.74803149606299213" bottom="0.74803149606299213" header="0.31496062992125984" footer="0.31496062992125984"/>
  <pageSetup paperSize="9" scale="2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ПРоформа</vt:lpstr>
      <vt:lpstr>ПРоформа!Область_печати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Oxikus</dc:creator>
  <cp:lastModifiedBy>User</cp:lastModifiedBy>
  <cp:lastPrinted>2025-12-05T09:55:29Z</cp:lastPrinted>
  <dcterms:created xsi:type="dcterms:W3CDTF">2021-11-02T04:32:04Z</dcterms:created>
  <dcterms:modified xsi:type="dcterms:W3CDTF">2026-02-17T11:23:29Z</dcterms:modified>
</cp:coreProperties>
</file>