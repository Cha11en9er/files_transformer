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X:\ТАМОЖНЯ\документы прямые\21 век фурнитура\137 - Турция 12921 Оскардешлер 25 сборка\"/>
    </mc:Choice>
  </mc:AlternateContent>
  <bookViews>
    <workbookView xWindow="-120" yWindow="-120" windowWidth="29040" windowHeight="15840"/>
  </bookViews>
  <sheets>
    <sheet name="спецификация" sheetId="3" r:id="rId1"/>
  </sheets>
  <definedNames>
    <definedName name="_xlnm._FilterDatabase" localSheetId="0" hidden="1">спецификация!$A$5:$S$60</definedName>
    <definedName name="_xlnm.Print_Area" localSheetId="0">спецификация!$A$1:$T$75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9" i="3" l="1"/>
  <c r="P7" i="3" l="1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6" i="3"/>
  <c r="A59" i="3" l="1"/>
  <c r="N59" i="3"/>
  <c r="M59" i="3"/>
  <c r="I59" i="3"/>
  <c r="O26" i="3" l="1"/>
  <c r="L26" i="3"/>
  <c r="O25" i="3"/>
  <c r="L25" i="3"/>
  <c r="O24" i="3"/>
  <c r="L24" i="3"/>
  <c r="O23" i="3"/>
  <c r="L23" i="3"/>
  <c r="O22" i="3"/>
  <c r="L22" i="3"/>
  <c r="O21" i="3"/>
  <c r="L21" i="3"/>
  <c r="O20" i="3"/>
  <c r="L20" i="3"/>
  <c r="O19" i="3"/>
  <c r="L19" i="3"/>
  <c r="O18" i="3"/>
  <c r="L18" i="3"/>
  <c r="O17" i="3"/>
  <c r="L17" i="3"/>
  <c r="O16" i="3"/>
  <c r="L16" i="3"/>
  <c r="O15" i="3"/>
  <c r="L15" i="3"/>
  <c r="O14" i="3"/>
  <c r="L14" i="3"/>
  <c r="O13" i="3"/>
  <c r="L13" i="3"/>
  <c r="O12" i="3"/>
  <c r="L12" i="3"/>
  <c r="O11" i="3"/>
  <c r="L11" i="3"/>
  <c r="O10" i="3"/>
  <c r="L10" i="3"/>
  <c r="O9" i="3"/>
  <c r="L9" i="3"/>
  <c r="O8" i="3"/>
  <c r="L8" i="3"/>
  <c r="O7" i="3"/>
  <c r="L7" i="3"/>
  <c r="O6" i="3"/>
  <c r="L6" i="3"/>
  <c r="O28" i="3" l="1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27" i="3" l="1"/>
  <c r="L59" i="3" s="1"/>
  <c r="S60" i="3" l="1"/>
  <c r="T59" i="3" l="1"/>
  <c r="S59" i="3" l="1"/>
</calcChain>
</file>

<file path=xl/sharedStrings.xml><?xml version="1.0" encoding="utf-8"?>
<sst xmlns="http://schemas.openxmlformats.org/spreadsheetml/2006/main" count="530" uniqueCount="204">
  <si>
    <t>BOX QTY</t>
  </si>
  <si>
    <t>PRODUCER</t>
  </si>
  <si>
    <t>NET WEIGHT KG</t>
  </si>
  <si>
    <t>BRUT KG</t>
  </si>
  <si>
    <t>8302.42.00.00.19</t>
  </si>
  <si>
    <t>ÖZKARDEŞLER METAL PLS MOB.AKS.PAZ.LTD.ŞTİ</t>
  </si>
  <si>
    <t>ТМ</t>
  </si>
  <si>
    <t>DESCRIPTION OF THE GOODS</t>
  </si>
  <si>
    <t>НАИМЕНОВАНИЕ</t>
  </si>
  <si>
    <t xml:space="preserve">CUSTOMS CODE RUSSIA / ТАМОЖЕННЫЙ КОД ТНВЭД </t>
  </si>
  <si>
    <t>CUSTOMS CODE TURKEY / ТАМОЖЕННЫЙ КОД ОТПРАВИТЕЛЯ</t>
  </si>
  <si>
    <t>UNIT QUANTITY / КОЛИЧЕСТВО ЕДИНИЦ</t>
  </si>
  <si>
    <t>UNIT/ ЕДИНИЦА ИЗМЕРЕНИЯ</t>
  </si>
  <si>
    <t>UNIT PRICE, USD / ЦЕНА ЗА ЕДИНИЦУ, USD</t>
  </si>
  <si>
    <t>TOTAL     AMOUNT USD / ОБЩАЯ СТОИМОСТЬ, USD</t>
  </si>
  <si>
    <t>OZKM</t>
  </si>
  <si>
    <t>нетто/брутто</t>
  </si>
  <si>
    <t>APPENDIX to the Contract № 21V-210622-04IMP  dd 21.06.2022 / ПРИЛОЖЕНИЕ к Контракту № 21V-210622-04IMP от 21.06.2022</t>
  </si>
  <si>
    <t xml:space="preserve">TERMS OF DELIVERY : FCA ISTANBUL, TURKEY / УСЛОВИЯ ПОСТАВКИ: FCA Стамбул, Турция </t>
  </si>
  <si>
    <t>ORIGIN: TURKEY / СТРАНА ПРОИСХОЖДЕНИЯ ТОВАРА: ТУРЦИЯ</t>
  </si>
  <si>
    <t>BYUER: “TD 21 VEK” LLC</t>
  </si>
  <si>
    <t>141720, Moscow region, Dolgoprudny, microdistrict Paveltsevo, Novoe shosse str., 38, fl.1, of.14</t>
  </si>
  <si>
    <t>INN 5008058121</t>
  </si>
  <si>
    <t xml:space="preserve">Credit Europe Bank (Russia) Ltd.» </t>
  </si>
  <si>
    <t xml:space="preserve">General  director: Rukin M. N. </t>
  </si>
  <si>
    <t xml:space="preserve">SELLER: OZKARDESLER METAL PLASTIK MOB.AKS.PAZ.LTD.STI </t>
  </si>
  <si>
    <t>ORGANIZE SANAYI BOLGESI TORMAK SANAYI SITESI F BLOK NO: 6/8 BASAKSEHIR / ISTANBUL</t>
  </si>
  <si>
    <t xml:space="preserve">General  director: Necmi Ozkardes              </t>
  </si>
  <si>
    <t>SWIFT:  CITIUS33 /Account for USD : 40702840975600024059</t>
  </si>
  <si>
    <t>места</t>
  </si>
  <si>
    <t xml:space="preserve"> </t>
  </si>
  <si>
    <t>TERMS OF PAYMENT: within 180 calendar days after delivery. The Parties agreed to consider the invoice date as the delivery date. /УСЛОВИЯ ОПЛАТЫ: в течении 180 календарных дней после поставки. Датой поставки Стороны договорились считать дату инвойса.</t>
  </si>
  <si>
    <t>In case of non-delivery of the goods within 30 working days after receiving prepayment the Seller undertakes to return the advance payments within 30 calendar days/</t>
  </si>
  <si>
    <t>В случае непоставки товара в течение 30 рабочих дней после получения предоплаты Продавец обязуется вернуть  Покупателю авансовые платежи в течение 30 календарных дней.</t>
  </si>
  <si>
    <t>8302420000</t>
  </si>
  <si>
    <t>set /комплект</t>
  </si>
  <si>
    <t xml:space="preserve">ART /АРТИКУЛ </t>
  </si>
  <si>
    <t>DELIVERY NON LATER THAN 30 December 2024/ ПОСТАВКА ТОВАРА НЕ ПОЗДНЕЕ 30 Декабря 2024г.</t>
  </si>
  <si>
    <t>Bank: TÜRKİYE EMLAK KATILIM BANKASI A.Ş (BANK CODE ) :211</t>
  </si>
  <si>
    <t>BRANCH NAME : İKİTELLİ ŞUBE</t>
  </si>
  <si>
    <t>SWİFT: EMLATRISXXX/IBAN USD: TR14 0021 1000 0007 3294 0001 01</t>
  </si>
  <si>
    <t>Pcs / шт</t>
  </si>
  <si>
    <t>5118-03</t>
  </si>
  <si>
    <t>5007-03</t>
  </si>
  <si>
    <t>5335-012</t>
  </si>
  <si>
    <t>228-06</t>
  </si>
  <si>
    <t>225-06</t>
  </si>
  <si>
    <t>226-06</t>
  </si>
  <si>
    <t>12.092</t>
  </si>
  <si>
    <t>236-06</t>
  </si>
  <si>
    <t>5019-03</t>
  </si>
  <si>
    <t>5115-03</t>
  </si>
  <si>
    <t>14.100</t>
  </si>
  <si>
    <t>14.103</t>
  </si>
  <si>
    <t>200</t>
  </si>
  <si>
    <t>201</t>
  </si>
  <si>
    <t>209-06</t>
  </si>
  <si>
    <t>104-02</t>
  </si>
  <si>
    <t>104-03</t>
  </si>
  <si>
    <t>1001-013</t>
  </si>
  <si>
    <t>1001-011</t>
  </si>
  <si>
    <t>1001-024</t>
  </si>
  <si>
    <t>5001-03</t>
  </si>
  <si>
    <t>5007-02</t>
  </si>
  <si>
    <t>5042-02</t>
  </si>
  <si>
    <t>5096-03</t>
  </si>
  <si>
    <t>5115-06</t>
  </si>
  <si>
    <t>5132-013</t>
  </si>
  <si>
    <t>5144-011</t>
  </si>
  <si>
    <t>5145-014</t>
  </si>
  <si>
    <t>5145-015</t>
  </si>
  <si>
    <t>5152-03</t>
  </si>
  <si>
    <t>5190-04</t>
  </si>
  <si>
    <t>5190-06</t>
  </si>
  <si>
    <t>5589-012</t>
  </si>
  <si>
    <t>5615-08</t>
  </si>
  <si>
    <t>6058-06</t>
  </si>
  <si>
    <t>9052-08</t>
  </si>
  <si>
    <t>12.084</t>
  </si>
  <si>
    <t>12.085</t>
  </si>
  <si>
    <t>12.087</t>
  </si>
  <si>
    <t>12.096</t>
  </si>
  <si>
    <t>12.101</t>
  </si>
  <si>
    <t>12.103</t>
  </si>
  <si>
    <t>201-02</t>
  </si>
  <si>
    <t>206</t>
  </si>
  <si>
    <t>207</t>
  </si>
  <si>
    <t>221-06</t>
  </si>
  <si>
    <t>222-06</t>
  </si>
  <si>
    <t>229-06</t>
  </si>
  <si>
    <t>230-06</t>
  </si>
  <si>
    <t>103-06</t>
  </si>
  <si>
    <t>1001-015</t>
  </si>
  <si>
    <t>1001-078</t>
  </si>
  <si>
    <t>1001-091</t>
  </si>
  <si>
    <t>96 İNCE YAY MAT KROM KULP</t>
  </si>
  <si>
    <t>Ручка мебельная 5001-06 металлическая, в комплекте с крепежом, цвет матовый хром</t>
  </si>
  <si>
    <t xml:space="preserve">HANDLES 96 ELİF  SATEN </t>
  </si>
  <si>
    <t xml:space="preserve">HANDLES 96 ELİF  MAT KROM </t>
  </si>
  <si>
    <t xml:space="preserve">HANDLES 96 DEVE TABANI MAT KROM </t>
  </si>
  <si>
    <t xml:space="preserve">HANDLES 96 EFE  SATEN  </t>
  </si>
  <si>
    <t>HANDLES 96/128 DALYAN  MAT KROM</t>
  </si>
  <si>
    <t>HANDLES 96 GÖMME MAT KROM</t>
  </si>
  <si>
    <t>HANDLES 96 GÖMME  KROM</t>
  </si>
  <si>
    <t xml:space="preserve">HANDLES 32 MİDYE MAT KROM </t>
  </si>
  <si>
    <t>HANDLES 128 MERVE BEYAZ</t>
  </si>
  <si>
    <t>HANDLES PLS OVAL GÖMME SİYAH</t>
  </si>
  <si>
    <t>HANDLES PLS YUVARLAK GÖMME KAHVE</t>
  </si>
  <si>
    <t>HANDLES PLS YUVARLAK GÖMME MEŞE</t>
  </si>
  <si>
    <t xml:space="preserve">HANDLES 96/128 BERGAMA  MAT KROM </t>
  </si>
  <si>
    <t xml:space="preserve">HANDLES 128 TAŞLI EVEREST MAT ALTIN </t>
  </si>
  <si>
    <t>HANDLES 128 TAŞLI EVEREST KROM</t>
  </si>
  <si>
    <t>HANDLES 128 NADYA MAT SİYAH</t>
  </si>
  <si>
    <t>HANDLES 160 SARDUNYA MAT SİYAH</t>
  </si>
  <si>
    <t xml:space="preserve">HANDLES 128 MARTA A.SARI </t>
  </si>
  <si>
    <t xml:space="preserve">HANDLES TAŞLI DÜZ DÜĞME KROM </t>
  </si>
  <si>
    <t xml:space="preserve">HANDLES U KULP  A.SARI </t>
  </si>
  <si>
    <t>FLANGE İKİ PARÇALI FLANŞ</t>
  </si>
  <si>
    <t>FLANGE OVAL ASKI FLANŞ ARKASI DÜZ</t>
  </si>
  <si>
    <t>FLANGE LE BORU FLANŞ</t>
  </si>
  <si>
    <t>FLANGE ÜÇ DELİKLİ OVAL FLANŞ</t>
  </si>
  <si>
    <t>FLANGE DÖRT YÖNLÜ FLANŞ</t>
  </si>
  <si>
    <t xml:space="preserve">SHELF SUPPORTS 16 'LIK BORU BAĞLANTI KANCASI </t>
  </si>
  <si>
    <t>SHELF SUPPORTS 25'LİK BORU KANCASI</t>
  </si>
  <si>
    <t>HANDLES 96 ALM BOY KULP</t>
  </si>
  <si>
    <t>HANDLES 192 ALM BOY KULP</t>
  </si>
  <si>
    <t xml:space="preserve">SHELF SUPPORTS CAM RAF PİMİ PİMLİ KROM </t>
  </si>
  <si>
    <t xml:space="preserve">SHELF SUPPORTS CAM RAF PİMİ PİMSİZ KROM </t>
  </si>
  <si>
    <t xml:space="preserve">SHELF SUPPORTS CAM RAF PİMİ PİMSİZ SATEN </t>
  </si>
  <si>
    <t>SHELF SUPPORTS BORU BABASI AÇIK KROM</t>
  </si>
  <si>
    <t>SHELF SUPPORTS BORU BABASI KAPALI KROM</t>
  </si>
  <si>
    <t>SHELF SUPPORTS VİDALI CAM TUTUCU KROM</t>
  </si>
  <si>
    <t>SHELF SUPPORTS OVAL BORU BABASI KAPALI KROM</t>
  </si>
  <si>
    <t>SHELF SUPPORTS OVAL BORU BABASI AÇIK KROM</t>
  </si>
  <si>
    <t>SHELF SUPPORTS 13 MM VİDA KAPAMA KROM</t>
  </si>
  <si>
    <t>SHELF SUPPORTS 15 MM VİDA KAPAMA KROM</t>
  </si>
  <si>
    <t>SHELF SUPPORTS 20 MM VİDA KAPAMA KROM</t>
  </si>
  <si>
    <t>SHELF SUPPORTS 16 LIK BORU BABASI KAPALI KROM</t>
  </si>
  <si>
    <t>SHELF SUPPORTS 16 LIK BORU BABASI AÇIK KROM</t>
  </si>
  <si>
    <t>SHELF SUPPORTS 25 MM VİDA KAPAMA KROM</t>
  </si>
  <si>
    <t xml:space="preserve">FURNITURE LEG 8 CM AYAK KROM </t>
  </si>
  <si>
    <t xml:space="preserve">FURNITURE LEG 5 CM AYAK SATEN </t>
  </si>
  <si>
    <t xml:space="preserve">FURNITURE LEG 5 CM AYAK MAT KROM </t>
  </si>
  <si>
    <t xml:space="preserve">PLS CABINET HANGERS </t>
  </si>
  <si>
    <t>Ручка мебельная 5007-02 металлическая, в комплекте с крепежом, цвет матовый никель</t>
  </si>
  <si>
    <t>Ручка мебельная 5042-02 металлическая, в комплекте с крепежом, цвет матовый никель</t>
  </si>
  <si>
    <t>Ручка мебельная 5007-03 металлическая, в комплекте с крепежом, цвет матовый хром</t>
  </si>
  <si>
    <t>Ручка мебельная 5152-03 металлическая, в комплекте с крепежом, цвет матовый хром</t>
  </si>
  <si>
    <t>Ручка мебельная 5019-03/96 металлическая, в комплекте с крепежом, цвет матовый хром</t>
  </si>
  <si>
    <t>Ручка мебельная 5096-03  металлическая, в комплекте с крепежом, цвет  матовый хром</t>
  </si>
  <si>
    <t>Ручка мебельная 5115-03 , материал пластик , цвет  матовый хром</t>
  </si>
  <si>
    <t>3926300000</t>
  </si>
  <si>
    <t>Ручка мебельная 5115-06 , материал пластик , цвет  хром</t>
  </si>
  <si>
    <t>Ручка мебельная 5118-03/32 металлическая, в комплекте с крепежом, цвет  матовый хром</t>
  </si>
  <si>
    <t>Ручка мебельная 5132-013 металлическая, в комплекте с крепежом, цвет белый</t>
  </si>
  <si>
    <t>Ручка мебельная 5144-011 , материал пластик , цвет  чёрный</t>
  </si>
  <si>
    <t>Ручка мебельная 5145-014  материал : пластик , цвет  коричневый</t>
  </si>
  <si>
    <t>Ручка мебельная 5145-015  материал : пластик , цвет  бежевый</t>
  </si>
  <si>
    <t>Ручка мебельная 5190-04/128 металлическая, в комплекте с крепежом, цвет  матовое золото</t>
  </si>
  <si>
    <t>Ручка мебельная 5190-06/128 металлическая, в комплекте с крепежом, цвет хром</t>
  </si>
  <si>
    <t>Ручка мебельная 5335-012 металлическая, в комплекте с крепежом, цвет матовый чёрный</t>
  </si>
  <si>
    <t xml:space="preserve"> Ручка мебельная 5589-012 металлическая, в комплекте с крепежом, цвет   матовый черный</t>
  </si>
  <si>
    <t>Ручка-скоба мебельная 5615-08, в комплекте с крепежом,  материал : металл , цвет : бронза</t>
  </si>
  <si>
    <t>Ручка мебельная 6058-04 металлическая, в комплекте с крепежом, цвет хром</t>
  </si>
  <si>
    <t>Ручка мебельная 9052-08 металлическая, в комплекте с крепежом, цвет бронза</t>
  </si>
  <si>
    <t>Фланец  мебельный 12.084 , материал : металл , цвет хром</t>
  </si>
  <si>
    <t>Штангодержатель мебельный  12.085 овальный , материал : металл , цвет :  никель</t>
  </si>
  <si>
    <t xml:space="preserve">Соединение L-образное 12.087 для трубы D25  металлическое , цвет хром </t>
  </si>
  <si>
    <t>Штангодержатель мебельный  12.092 овальный , материал : металл , цвет :  хром</t>
  </si>
  <si>
    <t xml:space="preserve">Соединение X-образное 12.096  для трубы D25  металлическое , цвет хром </t>
  </si>
  <si>
    <t>8302500000</t>
  </si>
  <si>
    <t>Крючок (несъемный) для рейлинга d16мм, метал, хром</t>
  </si>
  <si>
    <t>Крючок металический S-образный 12.103 , d=25 мм , цвет хром</t>
  </si>
  <si>
    <t>Ручка мебельная 14.100 металлическая, в комплекте с крепежом, цвет  аллюминий</t>
  </si>
  <si>
    <t>Ручка мебельная 14.103/192 металлическая, в комплекте с крепежом, цвет  аллюминий</t>
  </si>
  <si>
    <t>Полкодержатель 200 , материал : металл , цвет : хром</t>
  </si>
  <si>
    <t>Полкодержатель 201 , материал : металл , цвет : цинк</t>
  </si>
  <si>
    <t>Полкодержатель мебельный 201-02 ,  материал : метал   , цвет матовй никель</t>
  </si>
  <si>
    <t>Штангодержатель мебельный 206-06 металлический, цвет хром</t>
  </si>
  <si>
    <t>Штангодержатель мебельный 207-06 металлический, цвет хром</t>
  </si>
  <si>
    <t>Полкодержатель мебельный 209-06 материал : пластик  , цвет  хром</t>
  </si>
  <si>
    <t>Штангодержатель мебельный 221-06 металлический , цвет хром</t>
  </si>
  <si>
    <t>Штангодержатель мебельный 222-06 металлический, цвет хром</t>
  </si>
  <si>
    <t>Зеркалодержатель  мебельный 225-06 ,материал : замак , цвет :  хром</t>
  </si>
  <si>
    <t>Зеркалодержатель  мебельный 226-06 ,материал : замак , цвет :  хром</t>
  </si>
  <si>
    <t>Зеркалодержатель  мебельный 228-06 ,материал : замак , цвет :  хром</t>
  </si>
  <si>
    <t>Штангодержатель мебельный 229-06 металлический закрытый , цвет хром</t>
  </si>
  <si>
    <t>Штангодержатель мебельный 230-06 металлический открытый , цвет хром</t>
  </si>
  <si>
    <t>Зеркалодержатель мебельный 236-06 металлический , цвет  хром</t>
  </si>
  <si>
    <t>Ножка мебельная  для корпусной мебели 103-06 Н=80мм, металлическая, цвет  хром</t>
  </si>
  <si>
    <t>9403990001</t>
  </si>
  <si>
    <t>Ножка мебельная  для корпусной мебели 104-02, H=50мм, металлическая,  цвет  сатен</t>
  </si>
  <si>
    <t>Ножка мебельная  для корпусной мебели 104-03 Н=50мм, металлическая, цвет матовый хром</t>
  </si>
  <si>
    <t>Уголок мебельный L-образный с крышкой для навесных шкафов , материал : металл/пластик , цвет : белый</t>
  </si>
  <si>
    <t>3924.90.00.00.19</t>
  </si>
  <si>
    <t>Уголок мебельный L-образный с крышкой для навесных шкафов , материал : металл/пластик , цвет : черный</t>
  </si>
  <si>
    <t>Уголок мебельный L-образный с крышкой для навесных шкафов , материал : металл/пластик , цвет :  серый</t>
  </si>
  <si>
    <t>Уголок мебельный L-образный с крышкой для навесных шкафов , материал : металл/пластик , цвет : дуб</t>
  </si>
  <si>
    <t>Уголок мебельный L-образный с крышкой для навесных шкафов , материал : металл/пластик , цвет : кремовый</t>
  </si>
  <si>
    <t>Уголок мебельный L-образный с крышкой для навесных шкафов , материал : металл/пластик , цвет :  венге</t>
  </si>
  <si>
    <t>TOTAL AMOUNT: $ 25630,70</t>
  </si>
  <si>
    <t>part</t>
  </si>
  <si>
    <t>PALLET</t>
  </si>
  <si>
    <t>Specification № 25 dd 04-11-2024 / Спецификация № 25 от 04-11-2024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</si>
</sst>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0.0000"/>
  </numFmts>
  <fonts count="48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b/>
      <i/>
      <sz val="13"/>
      <name val="Times New Roman"/>
      <family val="1"/>
      <charset val="162"/>
    </font>
    <font>
      <b/>
      <sz val="11"/>
      <name val="Times New Roman"/>
      <family val="1"/>
      <charset val="162"/>
    </font>
    <font>
      <sz val="11"/>
      <name val="Bookman Old Style"/>
      <family val="1"/>
    </font>
    <font>
      <b/>
      <sz val="12"/>
      <name val="Lucida Sans Unicode"/>
      <family val="2"/>
      <charset val="162"/>
    </font>
    <font>
      <b/>
      <sz val="7"/>
      <name val="Times New Roman"/>
      <family val="1"/>
      <charset val="162"/>
    </font>
    <font>
      <sz val="7"/>
      <name val="Times New Roman"/>
      <family val="1"/>
      <charset val="162"/>
    </font>
    <font>
      <sz val="10"/>
      <name val="Bookman Old Style"/>
      <family val="1"/>
    </font>
    <font>
      <sz val="10"/>
      <name val="Arial Tur"/>
      <charset val="204"/>
    </font>
    <font>
      <b/>
      <sz val="9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2"/>
      <name val="Arial"/>
      <family val="2"/>
      <charset val="162"/>
    </font>
    <font>
      <sz val="10"/>
      <name val="Arial"/>
      <family val="2"/>
    </font>
    <font>
      <sz val="12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8"/>
      <name val="Times New Roman"/>
      <family val="1"/>
      <charset val="204"/>
    </font>
    <font>
      <b/>
      <u/>
      <sz val="12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8"/>
      <color theme="1"/>
      <name val="Times New Roman"/>
      <family val="1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0"/>
      <name val="Arial Tur"/>
      <charset val="162"/>
    </font>
    <font>
      <b/>
      <sz val="11"/>
      <color theme="1"/>
      <name val="Times New Roman"/>
      <family val="1"/>
      <charset val="204"/>
    </font>
    <font>
      <sz val="11"/>
      <color rgb="FF000000"/>
      <name val="Calibri"/>
      <family val="2"/>
      <charset val="204"/>
      <scheme val="minor"/>
    </font>
    <font>
      <b/>
      <sz val="16"/>
      <color theme="1"/>
      <name val="Times New Roman"/>
      <family val="1"/>
      <charset val="204"/>
    </font>
    <font>
      <sz val="8"/>
      <color theme="1"/>
      <name val="Arial"/>
      <family val="2"/>
      <charset val="162"/>
    </font>
    <font>
      <b/>
      <sz val="12"/>
      <color theme="1"/>
      <name val="Lucida Sans Unicode"/>
      <family val="2"/>
      <charset val="162"/>
    </font>
    <font>
      <b/>
      <sz val="9"/>
      <color theme="1"/>
      <name val="Times New Roman"/>
      <family val="1"/>
      <charset val="204"/>
    </font>
    <font>
      <sz val="10"/>
      <color theme="1"/>
      <name val="Arial"/>
      <family val="2"/>
      <charset val="162"/>
    </font>
    <font>
      <sz val="12"/>
      <color theme="1"/>
      <name val="Bookman Old Style"/>
      <family val="1"/>
    </font>
    <font>
      <sz val="11"/>
      <color theme="1"/>
      <name val="Times New Roman"/>
      <family val="1"/>
      <charset val="204"/>
    </font>
    <font>
      <b/>
      <i/>
      <sz val="13"/>
      <color theme="1"/>
      <name val="Times New Roman"/>
      <family val="1"/>
      <charset val="162"/>
    </font>
    <font>
      <sz val="11"/>
      <color theme="1"/>
      <name val="Bookman Old Style"/>
      <family val="1"/>
    </font>
    <font>
      <sz val="10"/>
      <color theme="1"/>
      <name val="Bookman Old Style"/>
      <family val="1"/>
    </font>
    <font>
      <sz val="12"/>
      <name val="Calibri"/>
      <family val="2"/>
      <charset val="204"/>
      <scheme val="minor"/>
    </font>
    <font>
      <sz val="12"/>
      <name val="Times New Roman"/>
      <family val="1"/>
      <charset val="162"/>
    </font>
    <font>
      <sz val="12"/>
      <color theme="1"/>
      <name val="Times New Roman"/>
      <family val="1"/>
    </font>
    <font>
      <sz val="12"/>
      <color theme="1"/>
      <name val="Times New Roman"/>
      <family val="1"/>
      <charset val="162"/>
    </font>
    <font>
      <b/>
      <sz val="16"/>
      <color rgb="FFFF0000"/>
      <name val="Times New Roman"/>
      <family val="1"/>
      <charset val="204"/>
    </font>
    <font>
      <sz val="8"/>
      <color rgb="FFFF0000"/>
      <name val="Arial"/>
      <family val="2"/>
      <charset val="162"/>
    </font>
    <font>
      <b/>
      <sz val="12"/>
      <color rgb="FFFF0000"/>
      <name val="Lucida Sans Unicode"/>
      <family val="2"/>
      <charset val="162"/>
    </font>
    <font>
      <sz val="10"/>
      <color rgb="FFFF0000"/>
      <name val="Arial"/>
      <family val="2"/>
      <charset val="162"/>
    </font>
    <font>
      <b/>
      <sz val="11"/>
      <color rgb="FFFF000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0" fillId="0" borderId="0"/>
    <xf numFmtId="0" fontId="14" fillId="0" borderId="0"/>
    <xf numFmtId="0" fontId="10" fillId="0" borderId="0"/>
    <xf numFmtId="0" fontId="10" fillId="0" borderId="0"/>
    <xf numFmtId="0" fontId="26" fillId="0" borderId="0"/>
    <xf numFmtId="0" fontId="1" fillId="0" borderId="0"/>
  </cellStyleXfs>
  <cellXfs count="15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3" fillId="0" borderId="0" xfId="0" applyFont="1"/>
    <xf numFmtId="0" fontId="5" fillId="0" borderId="0" xfId="0" applyFont="1" applyAlignment="1">
      <alignment horizontal="center" vertical="center"/>
    </xf>
    <xf numFmtId="0" fontId="4" fillId="0" borderId="0" xfId="0" applyFont="1"/>
    <xf numFmtId="0" fontId="6" fillId="0" borderId="0" xfId="0" applyFont="1" applyAlignment="1">
      <alignment horizontal="left"/>
    </xf>
    <xf numFmtId="0" fontId="7" fillId="0" borderId="1" xfId="0" applyFont="1" applyBorder="1" applyAlignment="1">
      <alignment horizontal="center" vertical="center" wrapText="1"/>
    </xf>
    <xf numFmtId="0" fontId="8" fillId="0" borderId="0" xfId="0" applyFont="1"/>
    <xf numFmtId="0" fontId="9" fillId="0" borderId="0" xfId="0" applyFont="1" applyAlignment="1">
      <alignment horizontal="center" vertical="center"/>
    </xf>
    <xf numFmtId="49" fontId="9" fillId="0" borderId="0" xfId="0" applyNumberFormat="1" applyFont="1"/>
    <xf numFmtId="0" fontId="1" fillId="0" borderId="0" xfId="0" applyFont="1" applyAlignment="1">
      <alignment horizontal="left"/>
    </xf>
    <xf numFmtId="0" fontId="9" fillId="0" borderId="0" xfId="0" applyFont="1"/>
    <xf numFmtId="0" fontId="11" fillId="0" borderId="1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49" fontId="16" fillId="2" borderId="0" xfId="1" applyNumberFormat="1" applyFont="1" applyFill="1" applyAlignment="1">
      <alignment horizontal="center"/>
    </xf>
    <xf numFmtId="0" fontId="17" fillId="2" borderId="0" xfId="1" applyFont="1" applyFill="1"/>
    <xf numFmtId="0" fontId="16" fillId="2" borderId="0" xfId="1" applyFont="1" applyFill="1" applyAlignment="1">
      <alignment horizontal="left"/>
    </xf>
    <xf numFmtId="0" fontId="16" fillId="2" borderId="0" xfId="1" applyFont="1" applyFill="1"/>
    <xf numFmtId="0" fontId="16" fillId="2" borderId="0" xfId="1" applyFont="1" applyFill="1" applyAlignment="1">
      <alignment horizontal="center" vertical="center"/>
    </xf>
    <xf numFmtId="0" fontId="18" fillId="0" borderId="0" xfId="4" applyFont="1"/>
    <xf numFmtId="0" fontId="12" fillId="0" borderId="0" xfId="1" applyFont="1" applyAlignment="1">
      <alignment horizontal="left"/>
    </xf>
    <xf numFmtId="0" fontId="15" fillId="0" borderId="0" xfId="1" applyFont="1"/>
    <xf numFmtId="0" fontId="15" fillId="0" borderId="0" xfId="1" applyFont="1" applyAlignment="1">
      <alignment horizontal="center" vertical="center"/>
    </xf>
    <xf numFmtId="0" fontId="12" fillId="2" borderId="0" xfId="1" applyFont="1" applyFill="1" applyAlignment="1">
      <alignment horizontal="center" vertical="center"/>
    </xf>
    <xf numFmtId="0" fontId="19" fillId="2" borderId="0" xfId="1" applyFont="1" applyFill="1" applyAlignment="1">
      <alignment horizontal="center" vertical="center"/>
    </xf>
    <xf numFmtId="0" fontId="20" fillId="2" borderId="0" xfId="1" applyFont="1" applyFill="1" applyAlignment="1">
      <alignment horizontal="center" vertical="center"/>
    </xf>
    <xf numFmtId="0" fontId="12" fillId="0" borderId="0" xfId="1" applyFont="1" applyAlignment="1">
      <alignment horizontal="center"/>
    </xf>
    <xf numFmtId="0" fontId="15" fillId="2" borderId="0" xfId="1" applyFont="1" applyFill="1" applyAlignment="1">
      <alignment horizontal="center" vertical="center"/>
    </xf>
    <xf numFmtId="0" fontId="21" fillId="0" borderId="0" xfId="1" applyFont="1" applyAlignment="1">
      <alignment horizontal="left"/>
    </xf>
    <xf numFmtId="0" fontId="22" fillId="0" borderId="0" xfId="1" applyFont="1"/>
    <xf numFmtId="0" fontId="22" fillId="0" borderId="0" xfId="1" applyFont="1" applyAlignment="1">
      <alignment horizontal="center" vertical="center"/>
    </xf>
    <xf numFmtId="0" fontId="21" fillId="2" borderId="0" xfId="1" applyFont="1" applyFill="1" applyAlignment="1">
      <alignment horizontal="center" vertical="center"/>
    </xf>
    <xf numFmtId="0" fontId="22" fillId="2" borderId="0" xfId="1" applyFont="1" applyFill="1" applyAlignment="1">
      <alignment horizontal="center" vertical="center"/>
    </xf>
    <xf numFmtId="164" fontId="12" fillId="0" borderId="0" xfId="1" applyNumberFormat="1" applyFont="1" applyAlignment="1">
      <alignment horizontal="center" vertical="center"/>
    </xf>
    <xf numFmtId="0" fontId="15" fillId="0" borderId="0" xfId="3" applyFont="1"/>
    <xf numFmtId="0" fontId="12" fillId="0" borderId="0" xfId="4" applyFont="1"/>
    <xf numFmtId="0" fontId="12" fillId="2" borderId="0" xfId="1" applyFont="1" applyFill="1" applyAlignment="1">
      <alignment horizontal="left" vertical="center"/>
    </xf>
    <xf numFmtId="0" fontId="21" fillId="0" borderId="0" xfId="4" applyFont="1"/>
    <xf numFmtId="0" fontId="22" fillId="0" borderId="0" xfId="1" applyFont="1" applyAlignment="1">
      <alignment horizontal="left" vertical="center"/>
    </xf>
    <xf numFmtId="0" fontId="21" fillId="0" borderId="0" xfId="4" applyFont="1" applyAlignment="1">
      <alignment horizontal="left"/>
    </xf>
    <xf numFmtId="0" fontId="12" fillId="0" borderId="0" xfId="1" applyFont="1"/>
    <xf numFmtId="49" fontId="23" fillId="0" borderId="1" xfId="0" applyNumberFormat="1" applyFont="1" applyBorder="1" applyAlignment="1">
      <alignment horizontal="center" vertical="center"/>
    </xf>
    <xf numFmtId="0" fontId="25" fillId="0" borderId="0" xfId="3" applyFont="1"/>
    <xf numFmtId="0" fontId="24" fillId="0" borderId="0" xfId="3" applyFont="1" applyAlignment="1">
      <alignment horizontal="right"/>
    </xf>
    <xf numFmtId="0" fontId="24" fillId="0" borderId="0" xfId="3" applyFont="1" applyAlignment="1">
      <alignment horizontal="left" vertical="top" wrapText="1"/>
    </xf>
    <xf numFmtId="0" fontId="24" fillId="0" borderId="0" xfId="3" applyFont="1" applyAlignment="1">
      <alignment horizontal="left"/>
    </xf>
    <xf numFmtId="3" fontId="1" fillId="0" borderId="0" xfId="0" applyNumberFormat="1" applyFont="1" applyAlignment="1">
      <alignment horizontal="left"/>
    </xf>
    <xf numFmtId="0" fontId="11" fillId="0" borderId="4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24" fillId="0" borderId="0" xfId="1" applyFont="1"/>
    <xf numFmtId="0" fontId="27" fillId="0" borderId="0" xfId="1" applyFont="1"/>
    <xf numFmtId="0" fontId="25" fillId="0" borderId="0" xfId="1" applyFont="1"/>
    <xf numFmtId="3" fontId="19" fillId="2" borderId="0" xfId="1" applyNumberFormat="1" applyFont="1" applyFill="1" applyAlignment="1">
      <alignment horizontal="center" vertical="center"/>
    </xf>
    <xf numFmtId="0" fontId="16" fillId="2" borderId="0" xfId="2" applyFont="1" applyFill="1" applyAlignment="1">
      <alignment horizontal="left"/>
    </xf>
    <xf numFmtId="49" fontId="23" fillId="0" borderId="3" xfId="0" applyNumberFormat="1" applyFont="1" applyBorder="1" applyAlignment="1">
      <alignment horizontal="center" vertical="center"/>
    </xf>
    <xf numFmtId="3" fontId="12" fillId="0" borderId="1" xfId="0" applyNumberFormat="1" applyFont="1" applyBorder="1" applyAlignment="1">
      <alignment horizontal="center" vertical="center" wrapText="1"/>
    </xf>
    <xf numFmtId="0" fontId="28" fillId="0" borderId="6" xfId="0" applyFont="1" applyBorder="1" applyAlignment="1">
      <alignment horizontal="left" vertical="center" wrapText="1" indent="2"/>
    </xf>
    <xf numFmtId="0" fontId="12" fillId="2" borderId="0" xfId="1" applyFont="1" applyFill="1" applyAlignment="1">
      <alignment horizontal="left" vertical="center" wrapText="1"/>
    </xf>
    <xf numFmtId="0" fontId="21" fillId="2" borderId="0" xfId="1" applyFont="1" applyFill="1" applyAlignment="1">
      <alignment horizontal="left" vertical="center" wrapText="1"/>
    </xf>
    <xf numFmtId="49" fontId="29" fillId="2" borderId="0" xfId="1" applyNumberFormat="1" applyFont="1" applyFill="1" applyAlignment="1">
      <alignment horizontal="center" vertical="center"/>
    </xf>
    <xf numFmtId="0" fontId="30" fillId="0" borderId="0" xfId="0" applyFont="1"/>
    <xf numFmtId="0" fontId="31" fillId="0" borderId="0" xfId="0" applyFont="1" applyAlignment="1">
      <alignment horizontal="left"/>
    </xf>
    <xf numFmtId="0" fontId="32" fillId="0" borderId="1" xfId="0" applyFont="1" applyBorder="1" applyAlignment="1">
      <alignment horizontal="center" vertical="center" wrapText="1"/>
    </xf>
    <xf numFmtId="3" fontId="21" fillId="0" borderId="1" xfId="0" applyNumberFormat="1" applyFont="1" applyBorder="1" applyAlignment="1">
      <alignment horizontal="center" vertical="center" wrapText="1"/>
    </xf>
    <xf numFmtId="3" fontId="33" fillId="0" borderId="0" xfId="0" applyNumberFormat="1" applyFont="1" applyAlignment="1">
      <alignment horizontal="left"/>
    </xf>
    <xf numFmtId="0" fontId="33" fillId="0" borderId="0" xfId="0" applyFont="1" applyAlignment="1">
      <alignment horizontal="left"/>
    </xf>
    <xf numFmtId="3" fontId="21" fillId="2" borderId="0" xfId="1" applyNumberFormat="1" applyFont="1" applyFill="1" applyAlignment="1">
      <alignment horizontal="center" vertical="center"/>
    </xf>
    <xf numFmtId="0" fontId="27" fillId="0" borderId="0" xfId="3" applyFont="1" applyAlignment="1">
      <alignment horizontal="left" vertical="top" wrapText="1"/>
    </xf>
    <xf numFmtId="0" fontId="21" fillId="2" borderId="0" xfId="1" applyFont="1" applyFill="1" applyAlignment="1">
      <alignment horizontal="left" vertical="center"/>
    </xf>
    <xf numFmtId="0" fontId="34" fillId="0" borderId="0" xfId="0" applyFont="1"/>
    <xf numFmtId="0" fontId="33" fillId="0" borderId="0" xfId="0" applyFont="1" applyAlignment="1">
      <alignment horizontal="center"/>
    </xf>
    <xf numFmtId="0" fontId="33" fillId="0" borderId="0" xfId="0" applyFont="1"/>
    <xf numFmtId="49" fontId="32" fillId="0" borderId="2" xfId="0" applyNumberFormat="1" applyFont="1" applyBorder="1" applyAlignment="1">
      <alignment horizontal="center" vertical="center" wrapText="1"/>
    </xf>
    <xf numFmtId="4" fontId="21" fillId="0" borderId="1" xfId="0" applyNumberFormat="1" applyFont="1" applyBorder="1" applyAlignment="1">
      <alignment horizontal="center" vertical="center" wrapText="1"/>
    </xf>
    <xf numFmtId="0" fontId="35" fillId="0" borderId="0" xfId="3" applyFont="1" applyAlignment="1">
      <alignment horizontal="center"/>
    </xf>
    <xf numFmtId="0" fontId="35" fillId="0" borderId="0" xfId="3" applyFont="1"/>
    <xf numFmtId="164" fontId="21" fillId="0" borderId="0" xfId="1" applyNumberFormat="1" applyFont="1" applyAlignment="1">
      <alignment horizontal="center" vertical="center"/>
    </xf>
    <xf numFmtId="0" fontId="21" fillId="0" borderId="0" xfId="1" applyFont="1" applyAlignment="1">
      <alignment horizontal="center" vertical="center"/>
    </xf>
    <xf numFmtId="0" fontId="29" fillId="2" borderId="0" xfId="1" applyFont="1" applyFill="1" applyAlignment="1">
      <alignment horizontal="left"/>
    </xf>
    <xf numFmtId="0" fontId="36" fillId="0" borderId="0" xfId="0" applyFont="1"/>
    <xf numFmtId="0" fontId="37" fillId="0" borderId="0" xfId="0" applyFont="1" applyAlignment="1">
      <alignment horizontal="center" vertical="center"/>
    </xf>
    <xf numFmtId="0" fontId="32" fillId="0" borderId="2" xfId="0" applyFont="1" applyBorder="1" applyAlignment="1">
      <alignment horizontal="center" vertical="center" wrapText="1"/>
    </xf>
    <xf numFmtId="0" fontId="38" fillId="0" borderId="0" xfId="0" applyFont="1" applyAlignment="1">
      <alignment horizontal="center" vertical="center"/>
    </xf>
    <xf numFmtId="0" fontId="27" fillId="0" borderId="0" xfId="3" applyFont="1" applyAlignment="1">
      <alignment horizontal="left"/>
    </xf>
    <xf numFmtId="0" fontId="21" fillId="0" borderId="0" xfId="1" applyFont="1"/>
    <xf numFmtId="0" fontId="22" fillId="0" borderId="1" xfId="0" applyFont="1" applyBorder="1" applyAlignment="1">
      <alignment horizontal="center" vertical="center"/>
    </xf>
    <xf numFmtId="49" fontId="22" fillId="0" borderId="1" xfId="0" applyNumberFormat="1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4" fontId="22" fillId="0" borderId="1" xfId="0" applyNumberFormat="1" applyFont="1" applyBorder="1" applyAlignment="1">
      <alignment horizontal="center" vertical="center"/>
    </xf>
    <xf numFmtId="2" fontId="22" fillId="0" borderId="1" xfId="0" applyNumberFormat="1" applyFont="1" applyBorder="1" applyAlignment="1">
      <alignment horizontal="center" vertical="center"/>
    </xf>
    <xf numFmtId="49" fontId="22" fillId="0" borderId="1" xfId="0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40" fillId="0" borderId="1" xfId="0" applyNumberFormat="1" applyFont="1" applyFill="1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 wrapText="1"/>
    </xf>
    <xf numFmtId="0" fontId="40" fillId="0" borderId="1" xfId="0" applyNumberFormat="1" applyFont="1" applyFill="1" applyBorder="1" applyAlignment="1">
      <alignment horizontal="left" vertical="top" wrapText="1"/>
    </xf>
    <xf numFmtId="49" fontId="41" fillId="0" borderId="1" xfId="0" applyNumberFormat="1" applyFont="1" applyBorder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3" fontId="42" fillId="0" borderId="1" xfId="0" applyNumberFormat="1" applyFont="1" applyFill="1" applyBorder="1" applyAlignment="1">
      <alignment horizontal="center" vertical="center"/>
    </xf>
    <xf numFmtId="49" fontId="40" fillId="0" borderId="1" xfId="0" applyNumberFormat="1" applyFont="1" applyFill="1" applyBorder="1" applyAlignment="1">
      <alignment horizontal="center" vertical="center"/>
    </xf>
    <xf numFmtId="3" fontId="40" fillId="0" borderId="1" xfId="0" applyNumberFormat="1" applyFont="1" applyFill="1" applyBorder="1" applyAlignment="1">
      <alignment horizontal="center" vertical="center"/>
    </xf>
    <xf numFmtId="49" fontId="43" fillId="2" borderId="0" xfId="1" applyNumberFormat="1" applyFont="1" applyFill="1" applyAlignment="1">
      <alignment horizontal="center" vertical="center"/>
    </xf>
    <xf numFmtId="0" fontId="44" fillId="0" borderId="0" xfId="0" applyFont="1"/>
    <xf numFmtId="0" fontId="45" fillId="0" borderId="0" xfId="0" applyFont="1" applyAlignment="1">
      <alignment horizontal="left"/>
    </xf>
    <xf numFmtId="3" fontId="19" fillId="0" borderId="1" xfId="0" applyNumberFormat="1" applyFont="1" applyBorder="1" applyAlignment="1">
      <alignment horizontal="center" vertical="center" wrapText="1"/>
    </xf>
    <xf numFmtId="3" fontId="46" fillId="0" borderId="0" xfId="0" applyNumberFormat="1" applyFont="1" applyAlignment="1">
      <alignment horizontal="left"/>
    </xf>
    <xf numFmtId="0" fontId="46" fillId="0" borderId="0" xfId="0" applyFont="1" applyAlignment="1">
      <alignment horizontal="left"/>
    </xf>
    <xf numFmtId="0" fontId="47" fillId="0" borderId="0" xfId="3" applyFont="1" applyAlignment="1">
      <alignment horizontal="left" vertical="top" wrapText="1"/>
    </xf>
    <xf numFmtId="0" fontId="19" fillId="2" borderId="0" xfId="1" applyFont="1" applyFill="1" applyAlignment="1">
      <alignment horizontal="left" vertical="center" wrapText="1"/>
    </xf>
    <xf numFmtId="0" fontId="19" fillId="2" borderId="0" xfId="1" applyFont="1" applyFill="1" applyAlignment="1">
      <alignment horizontal="left" vertical="center"/>
    </xf>
    <xf numFmtId="0" fontId="40" fillId="0" borderId="1" xfId="6" applyFont="1" applyBorder="1" applyAlignment="1">
      <alignment horizontal="left"/>
    </xf>
    <xf numFmtId="3" fontId="40" fillId="0" borderId="1" xfId="0" applyNumberFormat="1" applyFont="1" applyFill="1" applyBorder="1" applyAlignment="1">
      <alignment horizontal="left" vertical="center"/>
    </xf>
    <xf numFmtId="0" fontId="40" fillId="0" borderId="1" xfId="3" applyFont="1" applyBorder="1" applyAlignment="1">
      <alignment horizontal="left" vertical="center"/>
    </xf>
    <xf numFmtId="165" fontId="42" fillId="0" borderId="1" xfId="0" applyNumberFormat="1" applyFont="1" applyFill="1" applyBorder="1" applyAlignment="1">
      <alignment horizontal="center" vertical="center"/>
    </xf>
    <xf numFmtId="0" fontId="22" fillId="2" borderId="1" xfId="0" applyFont="1" applyFill="1" applyBorder="1" applyAlignment="1">
      <alignment horizontal="center" vertical="center"/>
    </xf>
    <xf numFmtId="0" fontId="2" fillId="2" borderId="0" xfId="0" applyFont="1" applyFill="1"/>
    <xf numFmtId="0" fontId="6" fillId="2" borderId="0" xfId="0" applyFont="1" applyFill="1" applyAlignment="1">
      <alignment horizontal="left"/>
    </xf>
    <xf numFmtId="0" fontId="11" fillId="2" borderId="1" xfId="0" applyFont="1" applyFill="1" applyBorder="1" applyAlignment="1">
      <alignment horizontal="center" vertical="center" wrapText="1"/>
    </xf>
    <xf numFmtId="3" fontId="22" fillId="2" borderId="1" xfId="0" applyNumberFormat="1" applyFont="1" applyFill="1" applyBorder="1" applyAlignment="1">
      <alignment horizontal="center" vertical="center"/>
    </xf>
    <xf numFmtId="3" fontId="42" fillId="2" borderId="1" xfId="0" applyNumberFormat="1" applyFont="1" applyFill="1" applyBorder="1" applyAlignment="1">
      <alignment horizontal="center" vertical="center"/>
    </xf>
    <xf numFmtId="3" fontId="12" fillId="2" borderId="1" xfId="0" applyNumberFormat="1" applyFont="1" applyFill="1" applyBorder="1" applyAlignment="1">
      <alignment horizontal="center" vertical="center" wrapText="1"/>
    </xf>
    <xf numFmtId="3" fontId="1" fillId="2" borderId="0" xfId="0" applyNumberFormat="1" applyFont="1" applyFill="1" applyAlignment="1">
      <alignment horizontal="left"/>
    </xf>
    <xf numFmtId="0" fontId="1" fillId="2" borderId="0" xfId="0" applyFont="1" applyFill="1" applyAlignment="1">
      <alignment horizontal="left"/>
    </xf>
    <xf numFmtId="0" fontId="24" fillId="2" borderId="0" xfId="3" applyFont="1" applyFill="1" applyAlignment="1">
      <alignment horizontal="left" vertical="top" wrapText="1"/>
    </xf>
    <xf numFmtId="0" fontId="32" fillId="0" borderId="4" xfId="0" applyFont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left" vertical="center" wrapText="1"/>
    </xf>
    <xf numFmtId="0" fontId="39" fillId="2" borderId="1" xfId="0" applyFont="1" applyFill="1" applyBorder="1" applyAlignment="1">
      <alignment horizontal="center" vertical="center" wrapText="1"/>
    </xf>
    <xf numFmtId="49" fontId="22" fillId="2" borderId="1" xfId="0" applyNumberFormat="1" applyFont="1" applyFill="1" applyBorder="1" applyAlignment="1">
      <alignment horizontal="center" vertical="center"/>
    </xf>
    <xf numFmtId="0" fontId="22" fillId="2" borderId="1" xfId="0" applyFont="1" applyFill="1" applyBorder="1" applyAlignment="1">
      <alignment horizontal="center" vertical="center" wrapText="1"/>
    </xf>
    <xf numFmtId="165" fontId="22" fillId="2" borderId="1" xfId="0" applyNumberFormat="1" applyFont="1" applyFill="1" applyBorder="1" applyAlignment="1">
      <alignment horizontal="center" vertical="center"/>
    </xf>
    <xf numFmtId="4" fontId="22" fillId="2" borderId="1" xfId="0" applyNumberFormat="1" applyFont="1" applyFill="1" applyBorder="1" applyAlignment="1">
      <alignment horizontal="center" vertical="center"/>
    </xf>
    <xf numFmtId="2" fontId="22" fillId="2" borderId="1" xfId="0" applyNumberFormat="1" applyFont="1" applyFill="1" applyBorder="1" applyAlignment="1">
      <alignment horizontal="center" vertical="center"/>
    </xf>
    <xf numFmtId="49" fontId="22" fillId="2" borderId="1" xfId="0" applyNumberFormat="1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2" borderId="0" xfId="0" applyFont="1" applyFill="1"/>
    <xf numFmtId="3" fontId="42" fillId="2" borderId="1" xfId="0" applyNumberFormat="1" applyFont="1" applyFill="1" applyBorder="1" applyAlignment="1">
      <alignment horizontal="left" vertical="center"/>
    </xf>
    <xf numFmtId="0" fontId="40" fillId="2" borderId="1" xfId="0" applyNumberFormat="1" applyFont="1" applyFill="1" applyBorder="1" applyAlignment="1">
      <alignment horizontal="left" vertical="center" wrapText="1"/>
    </xf>
    <xf numFmtId="0" fontId="12" fillId="2" borderId="1" xfId="0" applyFont="1" applyFill="1" applyBorder="1" applyAlignment="1">
      <alignment horizontal="center" vertical="center" wrapText="1"/>
    </xf>
    <xf numFmtId="165" fontId="42" fillId="2" borderId="1" xfId="0" applyNumberFormat="1" applyFont="1" applyFill="1" applyBorder="1" applyAlignment="1">
      <alignment horizontal="center" vertical="center"/>
    </xf>
    <xf numFmtId="49" fontId="40" fillId="2" borderId="1" xfId="0" applyNumberFormat="1" applyFont="1" applyFill="1" applyBorder="1" applyAlignment="1">
      <alignment horizontal="center" vertical="center"/>
    </xf>
    <xf numFmtId="0" fontId="40" fillId="2" borderId="1" xfId="0" applyNumberFormat="1" applyFont="1" applyFill="1" applyBorder="1" applyAlignment="1">
      <alignment horizontal="left" vertical="top" wrapText="1"/>
    </xf>
    <xf numFmtId="49" fontId="41" fillId="2" borderId="1" xfId="0" applyNumberFormat="1" applyFont="1" applyFill="1" applyBorder="1" applyAlignment="1">
      <alignment horizontal="center" vertical="center"/>
    </xf>
    <xf numFmtId="0" fontId="40" fillId="2" borderId="1" xfId="6" applyFont="1" applyFill="1" applyBorder="1" applyAlignment="1">
      <alignment horizontal="left" vertical="center"/>
    </xf>
    <xf numFmtId="3" fontId="40" fillId="2" borderId="1" xfId="0" applyNumberFormat="1" applyFont="1" applyFill="1" applyBorder="1" applyAlignment="1">
      <alignment horizontal="center" vertical="center"/>
    </xf>
    <xf numFmtId="0" fontId="40" fillId="2" borderId="1" xfId="6" applyFont="1" applyFill="1" applyBorder="1" applyAlignment="1">
      <alignment horizontal="left"/>
    </xf>
    <xf numFmtId="0" fontId="40" fillId="2" borderId="1" xfId="0" applyFont="1" applyFill="1" applyBorder="1" applyAlignment="1">
      <alignment vertical="center"/>
    </xf>
    <xf numFmtId="49" fontId="40" fillId="2" borderId="1" xfId="0" applyNumberFormat="1" applyFont="1" applyFill="1" applyBorder="1" applyAlignment="1">
      <alignment horizontal="left" vertical="center"/>
    </xf>
    <xf numFmtId="3" fontId="40" fillId="2" borderId="1" xfId="0" applyNumberFormat="1" applyFont="1" applyFill="1" applyBorder="1" applyAlignment="1">
      <alignment horizontal="left" vertical="center"/>
    </xf>
    <xf numFmtId="0" fontId="40" fillId="2" borderId="1" xfId="0" applyNumberFormat="1" applyFont="1" applyFill="1" applyBorder="1" applyAlignment="1">
      <alignment horizontal="center" vertical="center"/>
    </xf>
    <xf numFmtId="49" fontId="42" fillId="2" borderId="1" xfId="0" applyNumberFormat="1" applyFont="1" applyFill="1" applyBorder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0" fontId="12" fillId="0" borderId="0" xfId="1" applyFont="1" applyAlignment="1">
      <alignment horizontal="left" vertical="top" wrapText="1"/>
    </xf>
    <xf numFmtId="0" fontId="12" fillId="0" borderId="0" xfId="3" applyFont="1" applyAlignment="1">
      <alignment horizontal="left"/>
    </xf>
    <xf numFmtId="0" fontId="21" fillId="2" borderId="0" xfId="1" applyFont="1" applyFill="1" applyAlignment="1">
      <alignment horizontal="left" vertical="center" wrapText="1"/>
    </xf>
    <xf numFmtId="0" fontId="24" fillId="0" borderId="0" xfId="3" applyFont="1" applyAlignment="1">
      <alignment horizontal="left"/>
    </xf>
    <xf numFmtId="0" fontId="24" fillId="0" borderId="0" xfId="1" applyFont="1" applyAlignment="1">
      <alignment horizontal="left"/>
    </xf>
  </cellXfs>
  <cellStyles count="7">
    <cellStyle name="-15-1976" xfId="6"/>
    <cellStyle name="Normal 2" xfId="3"/>
    <cellStyle name="Normal 2_проформа инвойса" xfId="4"/>
    <cellStyle name="Normal_Sayfa1 2" xfId="2"/>
    <cellStyle name="Обычный" xfId="0" builtinId="0"/>
    <cellStyle name="Обычный 2" xfId="5"/>
    <cellStyle name="Обычный 4" xfId="1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75"/>
  <sheetViews>
    <sheetView tabSelected="1" topLeftCell="A55" zoomScale="70" zoomScaleNormal="70" workbookViewId="0">
      <selection activeCell="A65" sqref="A65:S65"/>
    </sheetView>
  </sheetViews>
  <sheetFormatPr defaultColWidth="9.109375" defaultRowHeight="13.2"/>
  <cols>
    <col min="1" max="2" width="8.44140625" style="83" customWidth="1"/>
    <col min="3" max="3" width="13.33203125" style="9" customWidth="1"/>
    <col min="4" max="4" width="63.109375" style="10" customWidth="1"/>
    <col min="5" max="5" width="49" style="12" customWidth="1"/>
    <col min="6" max="6" width="38.109375" style="12" hidden="1" customWidth="1"/>
    <col min="7" max="7" width="14.109375" style="11" customWidth="1"/>
    <col min="8" max="8" width="19.6640625" style="11" customWidth="1"/>
    <col min="9" max="9" width="13.6640625" style="122" customWidth="1"/>
    <col min="10" max="10" width="14.6640625" style="106" customWidth="1"/>
    <col min="11" max="11" width="13.33203125" style="66" customWidth="1"/>
    <col min="12" max="12" width="13.6640625" style="72" customWidth="1"/>
    <col min="13" max="13" width="9.5546875" style="72" customWidth="1"/>
    <col min="14" max="14" width="9.6640625" style="71" customWidth="1"/>
    <col min="15" max="15" width="9.6640625" style="71" hidden="1" customWidth="1"/>
    <col min="16" max="16" width="9.6640625" style="71" customWidth="1"/>
    <col min="17" max="17" width="36.5546875" style="1" customWidth="1"/>
    <col min="18" max="18" width="16" style="1" customWidth="1"/>
    <col min="19" max="19" width="9.109375" style="1" hidden="1" customWidth="1"/>
    <col min="20" max="22" width="0" style="1" hidden="1" customWidth="1"/>
    <col min="23" max="16384" width="9.109375" style="1"/>
  </cols>
  <sheetData>
    <row r="1" spans="1:20" s="16" customFormat="1" ht="32.25" customHeight="1">
      <c r="A1" s="79" t="s">
        <v>17</v>
      </c>
      <c r="B1" s="79"/>
      <c r="C1" s="17"/>
      <c r="D1" s="18"/>
      <c r="E1" s="19"/>
      <c r="F1" s="19"/>
      <c r="G1" s="19"/>
      <c r="H1" s="19"/>
      <c r="I1" s="19"/>
      <c r="J1" s="101"/>
      <c r="K1" s="60"/>
      <c r="L1" s="60"/>
      <c r="M1" s="60"/>
      <c r="N1" s="60"/>
      <c r="O1" s="60"/>
      <c r="P1" s="60"/>
      <c r="Q1" s="15"/>
    </row>
    <row r="2" spans="1:20" s="16" customFormat="1" ht="33.75" customHeight="1">
      <c r="A2" s="79" t="s">
        <v>203</v>
      </c>
      <c r="B2" s="79"/>
      <c r="C2" s="17"/>
      <c r="D2" s="54"/>
      <c r="E2" s="19"/>
      <c r="F2" s="19"/>
      <c r="G2" s="19"/>
      <c r="H2" s="19"/>
      <c r="I2" s="19"/>
      <c r="J2" s="101"/>
      <c r="K2" s="60"/>
      <c r="L2" s="60"/>
      <c r="M2" s="60"/>
      <c r="N2" s="60"/>
      <c r="O2" s="60"/>
      <c r="P2" s="60"/>
      <c r="Q2" s="15"/>
    </row>
    <row r="3" spans="1:20" customFormat="1" ht="15" customHeight="1">
      <c r="A3" s="80"/>
      <c r="B3" s="80"/>
      <c r="C3" s="3"/>
      <c r="D3" s="3"/>
      <c r="E3" s="3"/>
      <c r="F3" s="3"/>
      <c r="G3" s="2"/>
      <c r="H3" s="2"/>
      <c r="I3" s="115"/>
      <c r="J3" s="102"/>
      <c r="K3" s="61"/>
      <c r="L3" s="70"/>
      <c r="M3" s="71"/>
      <c r="N3" s="72"/>
      <c r="O3" s="72"/>
      <c r="P3" s="72"/>
    </row>
    <row r="4" spans="1:20" ht="19.5" customHeight="1">
      <c r="A4" s="81"/>
      <c r="B4" s="81"/>
      <c r="C4" s="4"/>
      <c r="D4" s="5"/>
      <c r="E4" s="5"/>
      <c r="F4" s="5"/>
      <c r="G4" s="6"/>
      <c r="H4" s="6"/>
      <c r="I4" s="116"/>
      <c r="J4" s="103"/>
      <c r="K4" s="62"/>
      <c r="M4" s="71"/>
    </row>
    <row r="5" spans="1:20" s="8" customFormat="1" ht="57">
      <c r="A5" s="82" t="s">
        <v>0</v>
      </c>
      <c r="B5" s="124" t="s">
        <v>202</v>
      </c>
      <c r="C5" s="48" t="s">
        <v>36</v>
      </c>
      <c r="D5" s="13" t="s">
        <v>7</v>
      </c>
      <c r="E5" s="49" t="s">
        <v>8</v>
      </c>
      <c r="F5" s="13"/>
      <c r="G5" s="13" t="s">
        <v>9</v>
      </c>
      <c r="H5" s="13" t="s">
        <v>10</v>
      </c>
      <c r="I5" s="117" t="s">
        <v>11</v>
      </c>
      <c r="J5" s="63" t="s">
        <v>12</v>
      </c>
      <c r="K5" s="63" t="s">
        <v>13</v>
      </c>
      <c r="L5" s="63" t="s">
        <v>14</v>
      </c>
      <c r="M5" s="73" t="s">
        <v>2</v>
      </c>
      <c r="N5" s="73" t="s">
        <v>3</v>
      </c>
      <c r="O5" s="73"/>
      <c r="P5" s="73"/>
      <c r="Q5" s="13" t="s">
        <v>1</v>
      </c>
      <c r="R5" s="13" t="s">
        <v>6</v>
      </c>
      <c r="S5" s="7" t="s">
        <v>16</v>
      </c>
      <c r="T5" s="13" t="s">
        <v>29</v>
      </c>
    </row>
    <row r="6" spans="1:20" s="135" customFormat="1" ht="34.5" customHeight="1">
      <c r="A6" s="114">
        <v>2</v>
      </c>
      <c r="B6" s="114" t="s">
        <v>201</v>
      </c>
      <c r="C6" s="119" t="s">
        <v>62</v>
      </c>
      <c r="D6" s="125" t="s">
        <v>95</v>
      </c>
      <c r="E6" s="125" t="s">
        <v>96</v>
      </c>
      <c r="F6" s="126"/>
      <c r="G6" s="127" t="s">
        <v>34</v>
      </c>
      <c r="H6" s="127" t="s">
        <v>4</v>
      </c>
      <c r="I6" s="118">
        <v>1500</v>
      </c>
      <c r="J6" s="128" t="s">
        <v>35</v>
      </c>
      <c r="K6" s="129">
        <v>0.31</v>
      </c>
      <c r="L6" s="130">
        <f t="shared" ref="L6:L26" si="0">K6*I6</f>
        <v>465</v>
      </c>
      <c r="M6" s="131">
        <v>31</v>
      </c>
      <c r="N6" s="131">
        <v>34</v>
      </c>
      <c r="O6" s="131">
        <f>M6/N6</f>
        <v>0.91176470588235292</v>
      </c>
      <c r="P6" s="131">
        <f>M6/N6</f>
        <v>0.91176470588235292</v>
      </c>
      <c r="Q6" s="132" t="s">
        <v>5</v>
      </c>
      <c r="R6" s="133" t="s">
        <v>15</v>
      </c>
      <c r="S6" s="134"/>
      <c r="T6" s="117"/>
    </row>
    <row r="7" spans="1:20" s="135" customFormat="1" ht="31.2">
      <c r="A7" s="114">
        <v>1</v>
      </c>
      <c r="B7" s="114" t="s">
        <v>201</v>
      </c>
      <c r="C7" s="119" t="s">
        <v>63</v>
      </c>
      <c r="D7" s="136" t="s">
        <v>97</v>
      </c>
      <c r="E7" s="137" t="s">
        <v>144</v>
      </c>
      <c r="F7" s="138"/>
      <c r="G7" s="127" t="s">
        <v>34</v>
      </c>
      <c r="H7" s="127" t="s">
        <v>4</v>
      </c>
      <c r="I7" s="119">
        <v>500</v>
      </c>
      <c r="J7" s="128" t="s">
        <v>35</v>
      </c>
      <c r="K7" s="139">
        <v>0.32</v>
      </c>
      <c r="L7" s="130">
        <f t="shared" si="0"/>
        <v>160</v>
      </c>
      <c r="M7" s="131">
        <v>10</v>
      </c>
      <c r="N7" s="131">
        <v>11</v>
      </c>
      <c r="O7" s="131">
        <f t="shared" ref="O7:O26" si="1">M7/N7</f>
        <v>0.90909090909090906</v>
      </c>
      <c r="P7" s="131">
        <f t="shared" ref="P7:P58" si="2">M7/N7</f>
        <v>0.90909090909090906</v>
      </c>
      <c r="Q7" s="132" t="s">
        <v>5</v>
      </c>
      <c r="R7" s="133" t="s">
        <v>15</v>
      </c>
      <c r="S7" s="134"/>
      <c r="T7" s="117"/>
    </row>
    <row r="8" spans="1:20" s="135" customFormat="1" ht="31.2">
      <c r="A8" s="114">
        <v>1</v>
      </c>
      <c r="B8" s="114" t="s">
        <v>201</v>
      </c>
      <c r="C8" s="140" t="s">
        <v>43</v>
      </c>
      <c r="D8" s="136" t="s">
        <v>98</v>
      </c>
      <c r="E8" s="137" t="s">
        <v>146</v>
      </c>
      <c r="F8" s="141"/>
      <c r="G8" s="127" t="s">
        <v>34</v>
      </c>
      <c r="H8" s="127" t="s">
        <v>4</v>
      </c>
      <c r="I8" s="119">
        <v>100</v>
      </c>
      <c r="J8" s="128" t="s">
        <v>35</v>
      </c>
      <c r="K8" s="139">
        <v>0.32</v>
      </c>
      <c r="L8" s="130">
        <f t="shared" si="0"/>
        <v>32</v>
      </c>
      <c r="M8" s="131">
        <v>2</v>
      </c>
      <c r="N8" s="131">
        <v>2.25</v>
      </c>
      <c r="O8" s="131">
        <f t="shared" si="1"/>
        <v>0.88888888888888884</v>
      </c>
      <c r="P8" s="131">
        <f t="shared" si="2"/>
        <v>0.88888888888888884</v>
      </c>
      <c r="Q8" s="132" t="s">
        <v>5</v>
      </c>
      <c r="R8" s="133" t="s">
        <v>15</v>
      </c>
      <c r="S8" s="134"/>
      <c r="T8" s="117"/>
    </row>
    <row r="9" spans="1:20" s="135" customFormat="1" ht="31.2">
      <c r="A9" s="114">
        <v>1</v>
      </c>
      <c r="B9" s="114" t="s">
        <v>201</v>
      </c>
      <c r="C9" s="140" t="s">
        <v>50</v>
      </c>
      <c r="D9" s="136" t="s">
        <v>99</v>
      </c>
      <c r="E9" s="137" t="s">
        <v>148</v>
      </c>
      <c r="F9" s="142"/>
      <c r="G9" s="127" t="s">
        <v>34</v>
      </c>
      <c r="H9" s="127" t="s">
        <v>4</v>
      </c>
      <c r="I9" s="119">
        <v>800</v>
      </c>
      <c r="J9" s="128" t="s">
        <v>35</v>
      </c>
      <c r="K9" s="139">
        <v>0.56000000000000005</v>
      </c>
      <c r="L9" s="130">
        <f t="shared" si="0"/>
        <v>448.00000000000006</v>
      </c>
      <c r="M9" s="131">
        <v>24</v>
      </c>
      <c r="N9" s="131">
        <v>26</v>
      </c>
      <c r="O9" s="131">
        <f t="shared" si="1"/>
        <v>0.92307692307692313</v>
      </c>
      <c r="P9" s="131">
        <f t="shared" si="2"/>
        <v>0.92307692307692313</v>
      </c>
      <c r="Q9" s="132" t="s">
        <v>5</v>
      </c>
      <c r="R9" s="133" t="s">
        <v>15</v>
      </c>
      <c r="S9" s="134"/>
      <c r="T9" s="117"/>
    </row>
    <row r="10" spans="1:20" s="135" customFormat="1" ht="31.2">
      <c r="A10" s="114">
        <v>21</v>
      </c>
      <c r="B10" s="114">
        <v>1</v>
      </c>
      <c r="C10" s="119" t="s">
        <v>64</v>
      </c>
      <c r="D10" s="136" t="s">
        <v>100</v>
      </c>
      <c r="E10" s="137" t="s">
        <v>145</v>
      </c>
      <c r="F10" s="141"/>
      <c r="G10" s="127" t="s">
        <v>34</v>
      </c>
      <c r="H10" s="127" t="s">
        <v>4</v>
      </c>
      <c r="I10" s="119">
        <v>8400</v>
      </c>
      <c r="J10" s="128" t="s">
        <v>35</v>
      </c>
      <c r="K10" s="139">
        <v>0.77</v>
      </c>
      <c r="L10" s="130">
        <f t="shared" si="0"/>
        <v>6468</v>
      </c>
      <c r="M10" s="131">
        <v>350</v>
      </c>
      <c r="N10" s="131">
        <v>370</v>
      </c>
      <c r="O10" s="131">
        <f t="shared" si="1"/>
        <v>0.94594594594594594</v>
      </c>
      <c r="P10" s="131">
        <f t="shared" si="2"/>
        <v>0.94594594594594594</v>
      </c>
      <c r="Q10" s="132" t="s">
        <v>5</v>
      </c>
      <c r="R10" s="133" t="s">
        <v>15</v>
      </c>
      <c r="S10" s="134"/>
      <c r="T10" s="117"/>
    </row>
    <row r="11" spans="1:20" s="135" customFormat="1" ht="31.2">
      <c r="A11" s="114">
        <v>2</v>
      </c>
      <c r="B11" s="114" t="s">
        <v>201</v>
      </c>
      <c r="C11" s="119" t="s">
        <v>65</v>
      </c>
      <c r="D11" s="136" t="s">
        <v>101</v>
      </c>
      <c r="E11" s="137" t="s">
        <v>149</v>
      </c>
      <c r="F11" s="141"/>
      <c r="G11" s="127" t="s">
        <v>34</v>
      </c>
      <c r="H11" s="127" t="s">
        <v>4</v>
      </c>
      <c r="I11" s="119">
        <v>1000</v>
      </c>
      <c r="J11" s="128" t="s">
        <v>35</v>
      </c>
      <c r="K11" s="139">
        <v>1.05</v>
      </c>
      <c r="L11" s="130">
        <f t="shared" si="0"/>
        <v>1050</v>
      </c>
      <c r="M11" s="131">
        <v>91</v>
      </c>
      <c r="N11" s="131">
        <v>95.5</v>
      </c>
      <c r="O11" s="131">
        <f t="shared" si="1"/>
        <v>0.95287958115183247</v>
      </c>
      <c r="P11" s="131">
        <f t="shared" si="2"/>
        <v>0.95287958115183247</v>
      </c>
      <c r="Q11" s="132" t="s">
        <v>5</v>
      </c>
      <c r="R11" s="133" t="s">
        <v>15</v>
      </c>
      <c r="S11" s="134"/>
      <c r="T11" s="117"/>
    </row>
    <row r="12" spans="1:20" s="135" customFormat="1" ht="31.2">
      <c r="A12" s="114">
        <v>6</v>
      </c>
      <c r="B12" s="114" t="s">
        <v>201</v>
      </c>
      <c r="C12" s="140" t="s">
        <v>51</v>
      </c>
      <c r="D12" s="136" t="s">
        <v>102</v>
      </c>
      <c r="E12" s="137" t="s">
        <v>150</v>
      </c>
      <c r="F12" s="142"/>
      <c r="G12" s="142" t="s">
        <v>151</v>
      </c>
      <c r="H12" s="127" t="s">
        <v>4</v>
      </c>
      <c r="I12" s="119">
        <v>1200</v>
      </c>
      <c r="J12" s="128" t="s">
        <v>41</v>
      </c>
      <c r="K12" s="139">
        <v>1.05</v>
      </c>
      <c r="L12" s="130">
        <f t="shared" si="0"/>
        <v>1260</v>
      </c>
      <c r="M12" s="131">
        <v>79</v>
      </c>
      <c r="N12" s="131">
        <v>85</v>
      </c>
      <c r="O12" s="131">
        <f t="shared" si="1"/>
        <v>0.92941176470588238</v>
      </c>
      <c r="P12" s="131">
        <f t="shared" si="2"/>
        <v>0.92941176470588238</v>
      </c>
      <c r="Q12" s="132" t="s">
        <v>5</v>
      </c>
      <c r="R12" s="133" t="s">
        <v>15</v>
      </c>
      <c r="S12" s="134"/>
      <c r="T12" s="117"/>
    </row>
    <row r="13" spans="1:20" s="135" customFormat="1" ht="31.2">
      <c r="A13" s="114">
        <v>2</v>
      </c>
      <c r="B13" s="114" t="s">
        <v>201</v>
      </c>
      <c r="C13" s="140" t="s">
        <v>66</v>
      </c>
      <c r="D13" s="136" t="s">
        <v>103</v>
      </c>
      <c r="E13" s="137" t="s">
        <v>152</v>
      </c>
      <c r="F13" s="138"/>
      <c r="G13" s="142" t="s">
        <v>151</v>
      </c>
      <c r="H13" s="127" t="s">
        <v>4</v>
      </c>
      <c r="I13" s="119">
        <v>400</v>
      </c>
      <c r="J13" s="128" t="s">
        <v>41</v>
      </c>
      <c r="K13" s="139">
        <v>1.05</v>
      </c>
      <c r="L13" s="130">
        <f t="shared" si="0"/>
        <v>420</v>
      </c>
      <c r="M13" s="131">
        <v>26</v>
      </c>
      <c r="N13" s="131">
        <v>28</v>
      </c>
      <c r="O13" s="131">
        <f t="shared" si="1"/>
        <v>0.9285714285714286</v>
      </c>
      <c r="P13" s="131">
        <f t="shared" si="2"/>
        <v>0.9285714285714286</v>
      </c>
      <c r="Q13" s="132" t="s">
        <v>5</v>
      </c>
      <c r="R13" s="133" t="s">
        <v>15</v>
      </c>
      <c r="S13" s="134"/>
      <c r="T13" s="117"/>
    </row>
    <row r="14" spans="1:20" s="135" customFormat="1" ht="31.2">
      <c r="A14" s="114">
        <v>5</v>
      </c>
      <c r="B14" s="114" t="s">
        <v>201</v>
      </c>
      <c r="C14" s="140" t="s">
        <v>42</v>
      </c>
      <c r="D14" s="136" t="s">
        <v>104</v>
      </c>
      <c r="E14" s="137" t="s">
        <v>153</v>
      </c>
      <c r="F14" s="142"/>
      <c r="G14" s="127" t="s">
        <v>34</v>
      </c>
      <c r="H14" s="127" t="s">
        <v>4</v>
      </c>
      <c r="I14" s="119">
        <v>2800</v>
      </c>
      <c r="J14" s="128" t="s">
        <v>35</v>
      </c>
      <c r="K14" s="139">
        <v>0.64</v>
      </c>
      <c r="L14" s="130">
        <f t="shared" si="0"/>
        <v>1792</v>
      </c>
      <c r="M14" s="131">
        <v>77</v>
      </c>
      <c r="N14" s="131">
        <v>85.5</v>
      </c>
      <c r="O14" s="131">
        <f t="shared" si="1"/>
        <v>0.90058479532163738</v>
      </c>
      <c r="P14" s="131">
        <f t="shared" si="2"/>
        <v>0.90058479532163738</v>
      </c>
      <c r="Q14" s="132" t="s">
        <v>5</v>
      </c>
      <c r="R14" s="133" t="s">
        <v>15</v>
      </c>
      <c r="S14" s="134"/>
      <c r="T14" s="117"/>
    </row>
    <row r="15" spans="1:20" s="135" customFormat="1" ht="31.2">
      <c r="A15" s="114" t="s">
        <v>201</v>
      </c>
      <c r="B15" s="114" t="s">
        <v>201</v>
      </c>
      <c r="C15" s="140" t="s">
        <v>67</v>
      </c>
      <c r="D15" s="136" t="s">
        <v>105</v>
      </c>
      <c r="E15" s="137" t="s">
        <v>154</v>
      </c>
      <c r="F15" s="142"/>
      <c r="G15" s="127" t="s">
        <v>34</v>
      </c>
      <c r="H15" s="127" t="s">
        <v>4</v>
      </c>
      <c r="I15" s="119">
        <v>200</v>
      </c>
      <c r="J15" s="128" t="s">
        <v>35</v>
      </c>
      <c r="K15" s="139">
        <v>0.64</v>
      </c>
      <c r="L15" s="130">
        <f t="shared" si="0"/>
        <v>128</v>
      </c>
      <c r="M15" s="131">
        <v>8</v>
      </c>
      <c r="N15" s="131">
        <v>9</v>
      </c>
      <c r="O15" s="131">
        <f t="shared" si="1"/>
        <v>0.88888888888888884</v>
      </c>
      <c r="P15" s="131">
        <f t="shared" si="2"/>
        <v>0.88888888888888884</v>
      </c>
      <c r="Q15" s="132" t="s">
        <v>5</v>
      </c>
      <c r="R15" s="133" t="s">
        <v>15</v>
      </c>
      <c r="S15" s="134"/>
      <c r="T15" s="117"/>
    </row>
    <row r="16" spans="1:20" s="135" customFormat="1" ht="31.2">
      <c r="A16" s="114">
        <v>1</v>
      </c>
      <c r="B16" s="114" t="s">
        <v>201</v>
      </c>
      <c r="C16" s="119" t="s">
        <v>68</v>
      </c>
      <c r="D16" s="136" t="s">
        <v>106</v>
      </c>
      <c r="E16" s="137" t="s">
        <v>155</v>
      </c>
      <c r="F16" s="138"/>
      <c r="G16" s="142" t="s">
        <v>151</v>
      </c>
      <c r="H16" s="127" t="s">
        <v>4</v>
      </c>
      <c r="I16" s="119">
        <v>600</v>
      </c>
      <c r="J16" s="128" t="s">
        <v>41</v>
      </c>
      <c r="K16" s="139">
        <v>0.32</v>
      </c>
      <c r="L16" s="130">
        <f t="shared" si="0"/>
        <v>192</v>
      </c>
      <c r="M16" s="131">
        <v>8</v>
      </c>
      <c r="N16" s="131">
        <v>10</v>
      </c>
      <c r="O16" s="131">
        <f t="shared" si="1"/>
        <v>0.8</v>
      </c>
      <c r="P16" s="131">
        <f t="shared" si="2"/>
        <v>0.8</v>
      </c>
      <c r="Q16" s="132" t="s">
        <v>5</v>
      </c>
      <c r="R16" s="133" t="s">
        <v>15</v>
      </c>
      <c r="S16" s="134"/>
      <c r="T16" s="117"/>
    </row>
    <row r="17" spans="1:20" s="135" customFormat="1" ht="31.2">
      <c r="A17" s="114" t="s">
        <v>201</v>
      </c>
      <c r="B17" s="114" t="s">
        <v>201</v>
      </c>
      <c r="C17" s="119" t="s">
        <v>69</v>
      </c>
      <c r="D17" s="136" t="s">
        <v>107</v>
      </c>
      <c r="E17" s="137" t="s">
        <v>156</v>
      </c>
      <c r="F17" s="138"/>
      <c r="G17" s="142" t="s">
        <v>151</v>
      </c>
      <c r="H17" s="127" t="s">
        <v>4</v>
      </c>
      <c r="I17" s="119">
        <v>60</v>
      </c>
      <c r="J17" s="128" t="s">
        <v>41</v>
      </c>
      <c r="K17" s="139">
        <v>0.14499999999999999</v>
      </c>
      <c r="L17" s="130">
        <f t="shared" si="0"/>
        <v>8.6999999999999993</v>
      </c>
      <c r="M17" s="131">
        <v>1</v>
      </c>
      <c r="N17" s="131">
        <v>1.25</v>
      </c>
      <c r="O17" s="131">
        <f t="shared" si="1"/>
        <v>0.8</v>
      </c>
      <c r="P17" s="131">
        <f t="shared" si="2"/>
        <v>0.8</v>
      </c>
      <c r="Q17" s="132" t="s">
        <v>5</v>
      </c>
      <c r="R17" s="133" t="s">
        <v>15</v>
      </c>
      <c r="S17" s="134"/>
      <c r="T17" s="117"/>
    </row>
    <row r="18" spans="1:20" s="135" customFormat="1" ht="31.2">
      <c r="A18" s="114" t="s">
        <v>201</v>
      </c>
      <c r="B18" s="114" t="s">
        <v>201</v>
      </c>
      <c r="C18" s="119" t="s">
        <v>70</v>
      </c>
      <c r="D18" s="143" t="s">
        <v>108</v>
      </c>
      <c r="E18" s="137" t="s">
        <v>157</v>
      </c>
      <c r="F18" s="138"/>
      <c r="G18" s="142" t="s">
        <v>151</v>
      </c>
      <c r="H18" s="127" t="s">
        <v>4</v>
      </c>
      <c r="I18" s="119">
        <v>60</v>
      </c>
      <c r="J18" s="128" t="s">
        <v>41</v>
      </c>
      <c r="K18" s="139">
        <v>0.14499999999999999</v>
      </c>
      <c r="L18" s="130">
        <f t="shared" si="0"/>
        <v>8.6999999999999993</v>
      </c>
      <c r="M18" s="131">
        <v>1</v>
      </c>
      <c r="N18" s="131">
        <v>1.25</v>
      </c>
      <c r="O18" s="131">
        <f t="shared" si="1"/>
        <v>0.8</v>
      </c>
      <c r="P18" s="131">
        <f t="shared" si="2"/>
        <v>0.8</v>
      </c>
      <c r="Q18" s="132" t="s">
        <v>5</v>
      </c>
      <c r="R18" s="133" t="s">
        <v>15</v>
      </c>
      <c r="S18" s="134"/>
      <c r="T18" s="117"/>
    </row>
    <row r="19" spans="1:20" s="135" customFormat="1" ht="31.2">
      <c r="A19" s="114">
        <v>5</v>
      </c>
      <c r="B19" s="114" t="s">
        <v>201</v>
      </c>
      <c r="C19" s="144" t="s">
        <v>71</v>
      </c>
      <c r="D19" s="145" t="s">
        <v>109</v>
      </c>
      <c r="E19" s="137" t="s">
        <v>147</v>
      </c>
      <c r="F19" s="138"/>
      <c r="G19" s="127" t="s">
        <v>34</v>
      </c>
      <c r="H19" s="127" t="s">
        <v>4</v>
      </c>
      <c r="I19" s="119">
        <v>1500</v>
      </c>
      <c r="J19" s="128" t="s">
        <v>35</v>
      </c>
      <c r="K19" s="139">
        <v>1.2</v>
      </c>
      <c r="L19" s="130">
        <f t="shared" si="0"/>
        <v>1800</v>
      </c>
      <c r="M19" s="131">
        <v>155</v>
      </c>
      <c r="N19" s="131">
        <v>160</v>
      </c>
      <c r="O19" s="131">
        <f t="shared" si="1"/>
        <v>0.96875</v>
      </c>
      <c r="P19" s="131">
        <f t="shared" si="2"/>
        <v>0.96875</v>
      </c>
      <c r="Q19" s="132" t="s">
        <v>5</v>
      </c>
      <c r="R19" s="133" t="s">
        <v>15</v>
      </c>
      <c r="S19" s="134"/>
      <c r="T19" s="117"/>
    </row>
    <row r="20" spans="1:20" s="135" customFormat="1" ht="31.2">
      <c r="A20" s="114" t="s">
        <v>201</v>
      </c>
      <c r="B20" s="114" t="s">
        <v>201</v>
      </c>
      <c r="C20" s="144" t="s">
        <v>72</v>
      </c>
      <c r="D20" s="145" t="s">
        <v>110</v>
      </c>
      <c r="E20" s="137" t="s">
        <v>158</v>
      </c>
      <c r="F20" s="138"/>
      <c r="G20" s="127" t="s">
        <v>34</v>
      </c>
      <c r="H20" s="127" t="s">
        <v>4</v>
      </c>
      <c r="I20" s="119">
        <v>40</v>
      </c>
      <c r="J20" s="128" t="s">
        <v>35</v>
      </c>
      <c r="K20" s="139">
        <v>1.36</v>
      </c>
      <c r="L20" s="130">
        <f t="shared" si="0"/>
        <v>54.400000000000006</v>
      </c>
      <c r="M20" s="131">
        <v>2</v>
      </c>
      <c r="N20" s="131">
        <v>3</v>
      </c>
      <c r="O20" s="131">
        <f t="shared" si="1"/>
        <v>0.66666666666666663</v>
      </c>
      <c r="P20" s="131">
        <f t="shared" si="2"/>
        <v>0.66666666666666663</v>
      </c>
      <c r="Q20" s="132" t="s">
        <v>5</v>
      </c>
      <c r="R20" s="133" t="s">
        <v>15</v>
      </c>
      <c r="S20" s="134"/>
      <c r="T20" s="117"/>
    </row>
    <row r="21" spans="1:20" s="135" customFormat="1" ht="31.2">
      <c r="A21" s="114" t="s">
        <v>201</v>
      </c>
      <c r="B21" s="114" t="s">
        <v>201</v>
      </c>
      <c r="C21" s="144" t="s">
        <v>73</v>
      </c>
      <c r="D21" s="146" t="s">
        <v>111</v>
      </c>
      <c r="E21" s="137" t="s">
        <v>159</v>
      </c>
      <c r="F21" s="138"/>
      <c r="G21" s="127" t="s">
        <v>34</v>
      </c>
      <c r="H21" s="127" t="s">
        <v>4</v>
      </c>
      <c r="I21" s="119">
        <v>80</v>
      </c>
      <c r="J21" s="128" t="s">
        <v>35</v>
      </c>
      <c r="K21" s="139">
        <v>1.36</v>
      </c>
      <c r="L21" s="130">
        <f t="shared" si="0"/>
        <v>108.80000000000001</v>
      </c>
      <c r="M21" s="131">
        <v>5</v>
      </c>
      <c r="N21" s="131">
        <v>6</v>
      </c>
      <c r="O21" s="131">
        <f t="shared" si="1"/>
        <v>0.83333333333333337</v>
      </c>
      <c r="P21" s="131">
        <f t="shared" si="2"/>
        <v>0.83333333333333337</v>
      </c>
      <c r="Q21" s="132" t="s">
        <v>5</v>
      </c>
      <c r="R21" s="133" t="s">
        <v>15</v>
      </c>
      <c r="S21" s="134"/>
      <c r="T21" s="117"/>
    </row>
    <row r="22" spans="1:20" s="135" customFormat="1" ht="31.2">
      <c r="A22" s="114" t="s">
        <v>201</v>
      </c>
      <c r="B22" s="114" t="s">
        <v>201</v>
      </c>
      <c r="C22" s="119" t="s">
        <v>44</v>
      </c>
      <c r="D22" s="147" t="s">
        <v>112</v>
      </c>
      <c r="E22" s="137" t="s">
        <v>160</v>
      </c>
      <c r="F22" s="138"/>
      <c r="G22" s="127" t="s">
        <v>34</v>
      </c>
      <c r="H22" s="127" t="s">
        <v>4</v>
      </c>
      <c r="I22" s="119">
        <v>25</v>
      </c>
      <c r="J22" s="128" t="s">
        <v>35</v>
      </c>
      <c r="K22" s="139">
        <v>1.4</v>
      </c>
      <c r="L22" s="130">
        <f t="shared" si="0"/>
        <v>35</v>
      </c>
      <c r="M22" s="131">
        <v>3</v>
      </c>
      <c r="N22" s="131">
        <v>4</v>
      </c>
      <c r="O22" s="131">
        <f t="shared" si="1"/>
        <v>0.75</v>
      </c>
      <c r="P22" s="131">
        <f t="shared" si="2"/>
        <v>0.75</v>
      </c>
      <c r="Q22" s="132" t="s">
        <v>5</v>
      </c>
      <c r="R22" s="133" t="s">
        <v>15</v>
      </c>
      <c r="S22" s="134"/>
      <c r="T22" s="117"/>
    </row>
    <row r="23" spans="1:20" s="135" customFormat="1" ht="31.2">
      <c r="A23" s="114" t="s">
        <v>201</v>
      </c>
      <c r="B23" s="114" t="s">
        <v>201</v>
      </c>
      <c r="C23" s="144" t="s">
        <v>74</v>
      </c>
      <c r="D23" s="148" t="s">
        <v>113</v>
      </c>
      <c r="E23" s="137" t="s">
        <v>161</v>
      </c>
      <c r="F23" s="138"/>
      <c r="G23" s="127" t="s">
        <v>34</v>
      </c>
      <c r="H23" s="127" t="s">
        <v>4</v>
      </c>
      <c r="I23" s="119">
        <v>90</v>
      </c>
      <c r="J23" s="128" t="s">
        <v>35</v>
      </c>
      <c r="K23" s="139">
        <v>1.05</v>
      </c>
      <c r="L23" s="130">
        <f t="shared" si="0"/>
        <v>94.5</v>
      </c>
      <c r="M23" s="131">
        <v>6</v>
      </c>
      <c r="N23" s="131">
        <v>6.25</v>
      </c>
      <c r="O23" s="131">
        <f t="shared" si="1"/>
        <v>0.96</v>
      </c>
      <c r="P23" s="131">
        <f t="shared" si="2"/>
        <v>0.96</v>
      </c>
      <c r="Q23" s="132" t="s">
        <v>5</v>
      </c>
      <c r="R23" s="133" t="s">
        <v>15</v>
      </c>
      <c r="S23" s="134"/>
      <c r="T23" s="117"/>
    </row>
    <row r="24" spans="1:20" s="135" customFormat="1" ht="31.2">
      <c r="A24" s="114" t="s">
        <v>201</v>
      </c>
      <c r="B24" s="114" t="s">
        <v>201</v>
      </c>
      <c r="C24" s="119" t="s">
        <v>75</v>
      </c>
      <c r="D24" s="148" t="s">
        <v>114</v>
      </c>
      <c r="E24" s="137" t="s">
        <v>162</v>
      </c>
      <c r="F24" s="138"/>
      <c r="G24" s="127" t="s">
        <v>34</v>
      </c>
      <c r="H24" s="127" t="s">
        <v>4</v>
      </c>
      <c r="I24" s="119">
        <v>50</v>
      </c>
      <c r="J24" s="128" t="s">
        <v>35</v>
      </c>
      <c r="K24" s="139">
        <v>0.8</v>
      </c>
      <c r="L24" s="130">
        <f t="shared" si="0"/>
        <v>40</v>
      </c>
      <c r="M24" s="131">
        <v>4</v>
      </c>
      <c r="N24" s="131">
        <v>4.25</v>
      </c>
      <c r="O24" s="131">
        <f t="shared" si="1"/>
        <v>0.94117647058823528</v>
      </c>
      <c r="P24" s="131">
        <f t="shared" si="2"/>
        <v>0.94117647058823528</v>
      </c>
      <c r="Q24" s="132" t="s">
        <v>5</v>
      </c>
      <c r="R24" s="133" t="s">
        <v>15</v>
      </c>
      <c r="S24" s="134"/>
      <c r="T24" s="117"/>
    </row>
    <row r="25" spans="1:20" s="8" customFormat="1" ht="31.2">
      <c r="A25" s="86" t="s">
        <v>201</v>
      </c>
      <c r="B25" s="86" t="s">
        <v>201</v>
      </c>
      <c r="C25" s="98" t="s">
        <v>76</v>
      </c>
      <c r="D25" s="110" t="s">
        <v>115</v>
      </c>
      <c r="E25" s="93" t="s">
        <v>163</v>
      </c>
      <c r="F25" s="94"/>
      <c r="G25" s="87" t="s">
        <v>34</v>
      </c>
      <c r="H25" s="87" t="s">
        <v>4</v>
      </c>
      <c r="I25" s="119">
        <v>150</v>
      </c>
      <c r="J25" s="88" t="s">
        <v>35</v>
      </c>
      <c r="K25" s="113">
        <v>0.68</v>
      </c>
      <c r="L25" s="89">
        <f t="shared" si="0"/>
        <v>102.00000000000001</v>
      </c>
      <c r="M25" s="90">
        <v>3</v>
      </c>
      <c r="N25" s="90">
        <v>4</v>
      </c>
      <c r="O25" s="90">
        <f t="shared" si="1"/>
        <v>0.75</v>
      </c>
      <c r="P25" s="90">
        <f t="shared" si="2"/>
        <v>0.75</v>
      </c>
      <c r="Q25" s="91" t="s">
        <v>5</v>
      </c>
      <c r="R25" s="92" t="s">
        <v>15</v>
      </c>
      <c r="S25" s="7"/>
      <c r="T25" s="13"/>
    </row>
    <row r="26" spans="1:20" s="135" customFormat="1" ht="31.2">
      <c r="A26" s="114" t="s">
        <v>201</v>
      </c>
      <c r="B26" s="114" t="s">
        <v>201</v>
      </c>
      <c r="C26" s="119" t="s">
        <v>77</v>
      </c>
      <c r="D26" s="145" t="s">
        <v>116</v>
      </c>
      <c r="E26" s="137" t="s">
        <v>164</v>
      </c>
      <c r="F26" s="138"/>
      <c r="G26" s="127" t="s">
        <v>34</v>
      </c>
      <c r="H26" s="127" t="s">
        <v>4</v>
      </c>
      <c r="I26" s="119">
        <v>100</v>
      </c>
      <c r="J26" s="128" t="s">
        <v>35</v>
      </c>
      <c r="K26" s="139">
        <v>0.54</v>
      </c>
      <c r="L26" s="130">
        <f t="shared" si="0"/>
        <v>54</v>
      </c>
      <c r="M26" s="131">
        <v>3</v>
      </c>
      <c r="N26" s="131">
        <v>4</v>
      </c>
      <c r="O26" s="131">
        <f t="shared" si="1"/>
        <v>0.75</v>
      </c>
      <c r="P26" s="131">
        <f t="shared" si="2"/>
        <v>0.75</v>
      </c>
      <c r="Q26" s="132" t="s">
        <v>5</v>
      </c>
      <c r="R26" s="133" t="s">
        <v>15</v>
      </c>
      <c r="S26" s="134"/>
      <c r="T26" s="117"/>
    </row>
    <row r="27" spans="1:20" s="135" customFormat="1" ht="31.2">
      <c r="A27" s="114" t="s">
        <v>201</v>
      </c>
      <c r="B27" s="114" t="s">
        <v>201</v>
      </c>
      <c r="C27" s="149" t="s">
        <v>78</v>
      </c>
      <c r="D27" s="146" t="s">
        <v>117</v>
      </c>
      <c r="E27" s="125" t="s">
        <v>165</v>
      </c>
      <c r="F27" s="126"/>
      <c r="G27" s="127" t="s">
        <v>34</v>
      </c>
      <c r="H27" s="127" t="s">
        <v>4</v>
      </c>
      <c r="I27" s="119">
        <v>300</v>
      </c>
      <c r="J27" s="128" t="s">
        <v>41</v>
      </c>
      <c r="K27" s="139">
        <v>0.54</v>
      </c>
      <c r="L27" s="130">
        <f t="shared" ref="L27:L58" si="3">K27*I27</f>
        <v>162</v>
      </c>
      <c r="M27" s="131">
        <v>11</v>
      </c>
      <c r="N27" s="131">
        <v>12</v>
      </c>
      <c r="O27" s="131">
        <f>M27/N27</f>
        <v>0.91666666666666663</v>
      </c>
      <c r="P27" s="131">
        <f t="shared" si="2"/>
        <v>0.91666666666666663</v>
      </c>
      <c r="Q27" s="132" t="s">
        <v>5</v>
      </c>
      <c r="R27" s="133" t="s">
        <v>15</v>
      </c>
      <c r="S27" s="134"/>
      <c r="T27" s="117"/>
    </row>
    <row r="28" spans="1:20" s="135" customFormat="1" ht="31.2">
      <c r="A28" s="114" t="s">
        <v>201</v>
      </c>
      <c r="B28" s="114" t="s">
        <v>201</v>
      </c>
      <c r="C28" s="140" t="s">
        <v>79</v>
      </c>
      <c r="D28" s="147" t="s">
        <v>118</v>
      </c>
      <c r="E28" s="137" t="s">
        <v>166</v>
      </c>
      <c r="F28" s="138"/>
      <c r="G28" s="127" t="s">
        <v>34</v>
      </c>
      <c r="H28" s="127" t="s">
        <v>4</v>
      </c>
      <c r="I28" s="119">
        <v>800</v>
      </c>
      <c r="J28" s="128" t="s">
        <v>41</v>
      </c>
      <c r="K28" s="139">
        <v>0.15</v>
      </c>
      <c r="L28" s="130">
        <f t="shared" si="3"/>
        <v>120</v>
      </c>
      <c r="M28" s="131">
        <v>9</v>
      </c>
      <c r="N28" s="131">
        <v>9.25</v>
      </c>
      <c r="O28" s="131">
        <f t="shared" ref="O28:O58" si="4">M28/N28</f>
        <v>0.97297297297297303</v>
      </c>
      <c r="P28" s="131">
        <f t="shared" si="2"/>
        <v>0.97297297297297303</v>
      </c>
      <c r="Q28" s="132" t="s">
        <v>5</v>
      </c>
      <c r="R28" s="133" t="s">
        <v>15</v>
      </c>
      <c r="S28" s="134"/>
      <c r="T28" s="117"/>
    </row>
    <row r="29" spans="1:20" s="135" customFormat="1" ht="31.2">
      <c r="A29" s="114" t="s">
        <v>201</v>
      </c>
      <c r="B29" s="114" t="s">
        <v>201</v>
      </c>
      <c r="C29" s="119" t="s">
        <v>80</v>
      </c>
      <c r="D29" s="148" t="s">
        <v>119</v>
      </c>
      <c r="E29" s="137" t="s">
        <v>167</v>
      </c>
      <c r="F29" s="141"/>
      <c r="G29" s="127" t="s">
        <v>34</v>
      </c>
      <c r="H29" s="127" t="s">
        <v>4</v>
      </c>
      <c r="I29" s="119">
        <v>100</v>
      </c>
      <c r="J29" s="128" t="s">
        <v>41</v>
      </c>
      <c r="K29" s="139">
        <v>1.05</v>
      </c>
      <c r="L29" s="130">
        <f t="shared" si="3"/>
        <v>105</v>
      </c>
      <c r="M29" s="131">
        <v>7</v>
      </c>
      <c r="N29" s="131">
        <v>8</v>
      </c>
      <c r="O29" s="131">
        <f t="shared" si="4"/>
        <v>0.875</v>
      </c>
      <c r="P29" s="131">
        <f t="shared" si="2"/>
        <v>0.875</v>
      </c>
      <c r="Q29" s="132" t="s">
        <v>5</v>
      </c>
      <c r="R29" s="133" t="s">
        <v>15</v>
      </c>
      <c r="S29" s="134"/>
      <c r="T29" s="117"/>
    </row>
    <row r="30" spans="1:20" s="135" customFormat="1" ht="31.2">
      <c r="A30" s="114">
        <v>1</v>
      </c>
      <c r="B30" s="114" t="s">
        <v>201</v>
      </c>
      <c r="C30" s="119" t="s">
        <v>48</v>
      </c>
      <c r="D30" s="136" t="s">
        <v>120</v>
      </c>
      <c r="E30" s="137" t="s">
        <v>168</v>
      </c>
      <c r="F30" s="142"/>
      <c r="G30" s="127" t="s">
        <v>34</v>
      </c>
      <c r="H30" s="127" t="s">
        <v>4</v>
      </c>
      <c r="I30" s="119">
        <v>1200</v>
      </c>
      <c r="J30" s="128" t="s">
        <v>41</v>
      </c>
      <c r="K30" s="139">
        <v>0.12</v>
      </c>
      <c r="L30" s="130">
        <f t="shared" si="3"/>
        <v>144</v>
      </c>
      <c r="M30" s="131">
        <v>13</v>
      </c>
      <c r="N30" s="131">
        <v>14</v>
      </c>
      <c r="O30" s="131">
        <f t="shared" si="4"/>
        <v>0.9285714285714286</v>
      </c>
      <c r="P30" s="131">
        <f t="shared" si="2"/>
        <v>0.9285714285714286</v>
      </c>
      <c r="Q30" s="132" t="s">
        <v>5</v>
      </c>
      <c r="R30" s="133" t="s">
        <v>15</v>
      </c>
      <c r="S30" s="134"/>
      <c r="T30" s="117"/>
    </row>
    <row r="31" spans="1:20" s="135" customFormat="1" ht="31.2">
      <c r="A31" s="114" t="s">
        <v>201</v>
      </c>
      <c r="B31" s="114" t="s">
        <v>201</v>
      </c>
      <c r="C31" s="140" t="s">
        <v>81</v>
      </c>
      <c r="D31" s="136" t="s">
        <v>121</v>
      </c>
      <c r="E31" s="137" t="s">
        <v>169</v>
      </c>
      <c r="F31" s="141"/>
      <c r="G31" s="127" t="s">
        <v>34</v>
      </c>
      <c r="H31" s="127" t="s">
        <v>4</v>
      </c>
      <c r="I31" s="119">
        <v>60</v>
      </c>
      <c r="J31" s="128" t="s">
        <v>41</v>
      </c>
      <c r="K31" s="139">
        <v>1.1499999999999999</v>
      </c>
      <c r="L31" s="130">
        <f t="shared" si="3"/>
        <v>69</v>
      </c>
      <c r="M31" s="131">
        <v>6</v>
      </c>
      <c r="N31" s="131">
        <v>7</v>
      </c>
      <c r="O31" s="131">
        <f t="shared" si="4"/>
        <v>0.8571428571428571</v>
      </c>
      <c r="P31" s="131">
        <f t="shared" si="2"/>
        <v>0.8571428571428571</v>
      </c>
      <c r="Q31" s="132" t="s">
        <v>5</v>
      </c>
      <c r="R31" s="133" t="s">
        <v>15</v>
      </c>
      <c r="S31" s="134"/>
      <c r="T31" s="117"/>
    </row>
    <row r="32" spans="1:20" s="135" customFormat="1" ht="31.2">
      <c r="A32" s="114" t="s">
        <v>201</v>
      </c>
      <c r="B32" s="114" t="s">
        <v>201</v>
      </c>
      <c r="C32" s="140" t="s">
        <v>82</v>
      </c>
      <c r="D32" s="136" t="s">
        <v>122</v>
      </c>
      <c r="E32" s="137" t="s">
        <v>171</v>
      </c>
      <c r="F32" s="141"/>
      <c r="G32" s="142" t="s">
        <v>170</v>
      </c>
      <c r="H32" s="127" t="s">
        <v>4</v>
      </c>
      <c r="I32" s="119">
        <v>200</v>
      </c>
      <c r="J32" s="128" t="s">
        <v>41</v>
      </c>
      <c r="K32" s="139">
        <v>0.31</v>
      </c>
      <c r="L32" s="130">
        <f t="shared" si="3"/>
        <v>62</v>
      </c>
      <c r="M32" s="131">
        <v>4</v>
      </c>
      <c r="N32" s="131">
        <v>5</v>
      </c>
      <c r="O32" s="131">
        <f t="shared" si="4"/>
        <v>0.8</v>
      </c>
      <c r="P32" s="131">
        <f t="shared" si="2"/>
        <v>0.8</v>
      </c>
      <c r="Q32" s="132" t="s">
        <v>5</v>
      </c>
      <c r="R32" s="133" t="s">
        <v>15</v>
      </c>
      <c r="S32" s="134"/>
      <c r="T32" s="117"/>
    </row>
    <row r="33" spans="1:20" s="135" customFormat="1" ht="31.2">
      <c r="A33" s="114">
        <v>2</v>
      </c>
      <c r="B33" s="114" t="s">
        <v>201</v>
      </c>
      <c r="C33" s="150" t="s">
        <v>83</v>
      </c>
      <c r="D33" s="136" t="s">
        <v>123</v>
      </c>
      <c r="E33" s="137" t="s">
        <v>172</v>
      </c>
      <c r="F33" s="142"/>
      <c r="G33" s="142" t="s">
        <v>170</v>
      </c>
      <c r="H33" s="127" t="s">
        <v>4</v>
      </c>
      <c r="I33" s="119">
        <v>1300</v>
      </c>
      <c r="J33" s="128" t="s">
        <v>41</v>
      </c>
      <c r="K33" s="139">
        <v>0.34</v>
      </c>
      <c r="L33" s="130">
        <f t="shared" si="3"/>
        <v>442.00000000000006</v>
      </c>
      <c r="M33" s="131">
        <v>23</v>
      </c>
      <c r="N33" s="131">
        <v>26</v>
      </c>
      <c r="O33" s="131">
        <f t="shared" si="4"/>
        <v>0.88461538461538458</v>
      </c>
      <c r="P33" s="131">
        <f t="shared" si="2"/>
        <v>0.88461538461538458</v>
      </c>
      <c r="Q33" s="132" t="s">
        <v>5</v>
      </c>
      <c r="R33" s="133" t="s">
        <v>15</v>
      </c>
      <c r="S33" s="134"/>
      <c r="T33" s="117"/>
    </row>
    <row r="34" spans="1:20" s="135" customFormat="1" ht="31.2">
      <c r="A34" s="114">
        <v>3</v>
      </c>
      <c r="B34" s="114" t="s">
        <v>201</v>
      </c>
      <c r="C34" s="150" t="s">
        <v>52</v>
      </c>
      <c r="D34" s="136" t="s">
        <v>124</v>
      </c>
      <c r="E34" s="137" t="s">
        <v>173</v>
      </c>
      <c r="F34" s="138"/>
      <c r="G34" s="142" t="s">
        <v>34</v>
      </c>
      <c r="H34" s="127" t="s">
        <v>4</v>
      </c>
      <c r="I34" s="119">
        <v>300</v>
      </c>
      <c r="J34" s="128" t="s">
        <v>35</v>
      </c>
      <c r="K34" s="139">
        <v>0.7</v>
      </c>
      <c r="L34" s="130">
        <f t="shared" si="3"/>
        <v>210</v>
      </c>
      <c r="M34" s="131">
        <v>11</v>
      </c>
      <c r="N34" s="131">
        <v>14</v>
      </c>
      <c r="O34" s="131">
        <f t="shared" si="4"/>
        <v>0.7857142857142857</v>
      </c>
      <c r="P34" s="131">
        <f t="shared" si="2"/>
        <v>0.7857142857142857</v>
      </c>
      <c r="Q34" s="132" t="s">
        <v>5</v>
      </c>
      <c r="R34" s="133" t="s">
        <v>15</v>
      </c>
      <c r="S34" s="134"/>
      <c r="T34" s="117"/>
    </row>
    <row r="35" spans="1:20" s="135" customFormat="1" ht="31.2">
      <c r="A35" s="114">
        <v>3</v>
      </c>
      <c r="B35" s="114" t="s">
        <v>201</v>
      </c>
      <c r="C35" s="140" t="s">
        <v>53</v>
      </c>
      <c r="D35" s="136" t="s">
        <v>125</v>
      </c>
      <c r="E35" s="137" t="s">
        <v>174</v>
      </c>
      <c r="F35" s="142"/>
      <c r="G35" s="142" t="s">
        <v>34</v>
      </c>
      <c r="H35" s="127" t="s">
        <v>4</v>
      </c>
      <c r="I35" s="119">
        <v>300</v>
      </c>
      <c r="J35" s="128" t="s">
        <v>35</v>
      </c>
      <c r="K35" s="139">
        <v>1.05</v>
      </c>
      <c r="L35" s="130">
        <f t="shared" si="3"/>
        <v>315</v>
      </c>
      <c r="M35" s="131">
        <v>14</v>
      </c>
      <c r="N35" s="131">
        <v>17</v>
      </c>
      <c r="O35" s="131">
        <f t="shared" si="4"/>
        <v>0.82352941176470584</v>
      </c>
      <c r="P35" s="131">
        <f t="shared" si="2"/>
        <v>0.82352941176470584</v>
      </c>
      <c r="Q35" s="132" t="s">
        <v>5</v>
      </c>
      <c r="R35" s="133" t="s">
        <v>15</v>
      </c>
      <c r="S35" s="134"/>
      <c r="T35" s="117"/>
    </row>
    <row r="36" spans="1:20" s="135" customFormat="1" ht="31.2">
      <c r="A36" s="114" t="s">
        <v>201</v>
      </c>
      <c r="B36" s="114" t="s">
        <v>201</v>
      </c>
      <c r="C36" s="140" t="s">
        <v>54</v>
      </c>
      <c r="D36" s="136" t="s">
        <v>126</v>
      </c>
      <c r="E36" s="137" t="s">
        <v>175</v>
      </c>
      <c r="F36" s="142"/>
      <c r="G36" s="142" t="s">
        <v>34</v>
      </c>
      <c r="H36" s="127" t="s">
        <v>4</v>
      </c>
      <c r="I36" s="119">
        <v>800</v>
      </c>
      <c r="J36" s="128" t="s">
        <v>41</v>
      </c>
      <c r="K36" s="139">
        <v>0.14000000000000001</v>
      </c>
      <c r="L36" s="130">
        <f t="shared" si="3"/>
        <v>112.00000000000001</v>
      </c>
      <c r="M36" s="131">
        <v>8</v>
      </c>
      <c r="N36" s="131">
        <v>8.25</v>
      </c>
      <c r="O36" s="131">
        <f t="shared" si="4"/>
        <v>0.96969696969696972</v>
      </c>
      <c r="P36" s="131">
        <f t="shared" si="2"/>
        <v>0.96969696969696972</v>
      </c>
      <c r="Q36" s="132" t="s">
        <v>5</v>
      </c>
      <c r="R36" s="133" t="s">
        <v>15</v>
      </c>
      <c r="S36" s="134"/>
      <c r="T36" s="117"/>
    </row>
    <row r="37" spans="1:20" s="135" customFormat="1" ht="31.2">
      <c r="A37" s="114">
        <v>2</v>
      </c>
      <c r="B37" s="114" t="s">
        <v>201</v>
      </c>
      <c r="C37" s="140" t="s">
        <v>55</v>
      </c>
      <c r="D37" s="136" t="s">
        <v>127</v>
      </c>
      <c r="E37" s="137" t="s">
        <v>176</v>
      </c>
      <c r="F37" s="138"/>
      <c r="G37" s="142" t="s">
        <v>34</v>
      </c>
      <c r="H37" s="127" t="s">
        <v>4</v>
      </c>
      <c r="I37" s="119">
        <v>4000</v>
      </c>
      <c r="J37" s="128" t="s">
        <v>41</v>
      </c>
      <c r="K37" s="139">
        <v>0.15</v>
      </c>
      <c r="L37" s="130">
        <f t="shared" si="3"/>
        <v>600</v>
      </c>
      <c r="M37" s="131">
        <v>36</v>
      </c>
      <c r="N37" s="131">
        <v>39</v>
      </c>
      <c r="O37" s="131">
        <f t="shared" si="4"/>
        <v>0.92307692307692313</v>
      </c>
      <c r="P37" s="131">
        <f t="shared" si="2"/>
        <v>0.92307692307692313</v>
      </c>
      <c r="Q37" s="132" t="s">
        <v>5</v>
      </c>
      <c r="R37" s="133" t="s">
        <v>15</v>
      </c>
      <c r="S37" s="134"/>
      <c r="T37" s="117"/>
    </row>
    <row r="38" spans="1:20" s="135" customFormat="1" ht="31.2">
      <c r="A38" s="114">
        <v>1</v>
      </c>
      <c r="B38" s="114" t="s">
        <v>201</v>
      </c>
      <c r="C38" s="140" t="s">
        <v>84</v>
      </c>
      <c r="D38" s="136" t="s">
        <v>128</v>
      </c>
      <c r="E38" s="137" t="s">
        <v>177</v>
      </c>
      <c r="F38" s="138"/>
      <c r="G38" s="142" t="s">
        <v>34</v>
      </c>
      <c r="H38" s="127" t="s">
        <v>4</v>
      </c>
      <c r="I38" s="119">
        <v>800</v>
      </c>
      <c r="J38" s="128" t="s">
        <v>41</v>
      </c>
      <c r="K38" s="139">
        <v>0.15</v>
      </c>
      <c r="L38" s="130">
        <f t="shared" si="3"/>
        <v>120</v>
      </c>
      <c r="M38" s="131">
        <v>7</v>
      </c>
      <c r="N38" s="131">
        <v>8</v>
      </c>
      <c r="O38" s="131">
        <f t="shared" si="4"/>
        <v>0.875</v>
      </c>
      <c r="P38" s="131">
        <f t="shared" si="2"/>
        <v>0.875</v>
      </c>
      <c r="Q38" s="132" t="s">
        <v>5</v>
      </c>
      <c r="R38" s="133" t="s">
        <v>15</v>
      </c>
      <c r="S38" s="134"/>
      <c r="T38" s="117"/>
    </row>
    <row r="39" spans="1:20" s="135" customFormat="1" ht="31.2">
      <c r="A39" s="114">
        <v>2</v>
      </c>
      <c r="B39" s="114" t="s">
        <v>201</v>
      </c>
      <c r="C39" s="119" t="s">
        <v>85</v>
      </c>
      <c r="D39" s="136" t="s">
        <v>129</v>
      </c>
      <c r="E39" s="137" t="s">
        <v>178</v>
      </c>
      <c r="F39" s="138"/>
      <c r="G39" s="142" t="s">
        <v>34</v>
      </c>
      <c r="H39" s="127" t="s">
        <v>4</v>
      </c>
      <c r="I39" s="119">
        <v>960</v>
      </c>
      <c r="J39" s="128" t="s">
        <v>41</v>
      </c>
      <c r="K39" s="139">
        <v>0.6</v>
      </c>
      <c r="L39" s="130">
        <f t="shared" si="3"/>
        <v>576</v>
      </c>
      <c r="M39" s="131">
        <v>36</v>
      </c>
      <c r="N39" s="131">
        <v>41</v>
      </c>
      <c r="O39" s="131">
        <f t="shared" si="4"/>
        <v>0.87804878048780488</v>
      </c>
      <c r="P39" s="131">
        <f t="shared" si="2"/>
        <v>0.87804878048780488</v>
      </c>
      <c r="Q39" s="132" t="s">
        <v>5</v>
      </c>
      <c r="R39" s="133" t="s">
        <v>15</v>
      </c>
      <c r="S39" s="134"/>
      <c r="T39" s="117"/>
    </row>
    <row r="40" spans="1:20" s="135" customFormat="1" ht="31.2">
      <c r="A40" s="114">
        <v>3</v>
      </c>
      <c r="B40" s="114" t="s">
        <v>201</v>
      </c>
      <c r="C40" s="144" t="s">
        <v>86</v>
      </c>
      <c r="D40" s="143" t="s">
        <v>130</v>
      </c>
      <c r="E40" s="137" t="s">
        <v>179</v>
      </c>
      <c r="F40" s="138"/>
      <c r="G40" s="142" t="s">
        <v>34</v>
      </c>
      <c r="H40" s="127" t="s">
        <v>4</v>
      </c>
      <c r="I40" s="119">
        <v>1080</v>
      </c>
      <c r="J40" s="128" t="s">
        <v>41</v>
      </c>
      <c r="K40" s="139">
        <v>0.72</v>
      </c>
      <c r="L40" s="130">
        <f t="shared" si="3"/>
        <v>777.6</v>
      </c>
      <c r="M40" s="131">
        <v>50</v>
      </c>
      <c r="N40" s="131">
        <v>55</v>
      </c>
      <c r="O40" s="131">
        <f t="shared" si="4"/>
        <v>0.90909090909090906</v>
      </c>
      <c r="P40" s="131">
        <f t="shared" si="2"/>
        <v>0.90909090909090906</v>
      </c>
      <c r="Q40" s="132" t="s">
        <v>5</v>
      </c>
      <c r="R40" s="133" t="s">
        <v>15</v>
      </c>
      <c r="S40" s="134"/>
      <c r="T40" s="117"/>
    </row>
    <row r="41" spans="1:20" s="135" customFormat="1" ht="31.2">
      <c r="A41" s="114">
        <v>1</v>
      </c>
      <c r="B41" s="114" t="s">
        <v>201</v>
      </c>
      <c r="C41" s="144" t="s">
        <v>56</v>
      </c>
      <c r="D41" s="145" t="s">
        <v>131</v>
      </c>
      <c r="E41" s="137" t="s">
        <v>180</v>
      </c>
      <c r="F41" s="138"/>
      <c r="G41" s="142" t="s">
        <v>34</v>
      </c>
      <c r="H41" s="127" t="s">
        <v>4</v>
      </c>
      <c r="I41" s="119">
        <v>800</v>
      </c>
      <c r="J41" s="128" t="s">
        <v>41</v>
      </c>
      <c r="K41" s="139">
        <v>0.5</v>
      </c>
      <c r="L41" s="130">
        <f t="shared" si="3"/>
        <v>400</v>
      </c>
      <c r="M41" s="131">
        <v>13</v>
      </c>
      <c r="N41" s="131">
        <v>15</v>
      </c>
      <c r="O41" s="131">
        <f t="shared" si="4"/>
        <v>0.8666666666666667</v>
      </c>
      <c r="P41" s="131">
        <f t="shared" si="2"/>
        <v>0.8666666666666667</v>
      </c>
      <c r="Q41" s="132" t="s">
        <v>5</v>
      </c>
      <c r="R41" s="133" t="s">
        <v>15</v>
      </c>
      <c r="S41" s="134"/>
      <c r="T41" s="117"/>
    </row>
    <row r="42" spans="1:20" s="135" customFormat="1" ht="31.2">
      <c r="A42" s="114">
        <v>5</v>
      </c>
      <c r="B42" s="114" t="s">
        <v>201</v>
      </c>
      <c r="C42" s="144" t="s">
        <v>87</v>
      </c>
      <c r="D42" s="145" t="s">
        <v>132</v>
      </c>
      <c r="E42" s="137" t="s">
        <v>181</v>
      </c>
      <c r="F42" s="138"/>
      <c r="G42" s="142" t="s">
        <v>34</v>
      </c>
      <c r="H42" s="127" t="s">
        <v>4</v>
      </c>
      <c r="I42" s="119">
        <v>3000</v>
      </c>
      <c r="J42" s="128" t="s">
        <v>41</v>
      </c>
      <c r="K42" s="139">
        <v>0.6</v>
      </c>
      <c r="L42" s="130">
        <f t="shared" si="3"/>
        <v>1800</v>
      </c>
      <c r="M42" s="131">
        <v>99</v>
      </c>
      <c r="N42" s="131">
        <v>104</v>
      </c>
      <c r="O42" s="131">
        <f t="shared" si="4"/>
        <v>0.95192307692307687</v>
      </c>
      <c r="P42" s="131">
        <f t="shared" si="2"/>
        <v>0.95192307692307687</v>
      </c>
      <c r="Q42" s="132" t="s">
        <v>5</v>
      </c>
      <c r="R42" s="133" t="s">
        <v>15</v>
      </c>
      <c r="S42" s="134"/>
      <c r="T42" s="117"/>
    </row>
    <row r="43" spans="1:20" s="135" customFormat="1" ht="31.2">
      <c r="A43" s="114">
        <v>1</v>
      </c>
      <c r="B43" s="114" t="s">
        <v>201</v>
      </c>
      <c r="C43" s="144" t="s">
        <v>88</v>
      </c>
      <c r="D43" s="146" t="s">
        <v>133</v>
      </c>
      <c r="E43" s="137" t="s">
        <v>182</v>
      </c>
      <c r="F43" s="138"/>
      <c r="G43" s="142" t="s">
        <v>34</v>
      </c>
      <c r="H43" s="127" t="s">
        <v>4</v>
      </c>
      <c r="I43" s="119">
        <v>300</v>
      </c>
      <c r="J43" s="128" t="s">
        <v>41</v>
      </c>
      <c r="K43" s="139">
        <v>0.55000000000000004</v>
      </c>
      <c r="L43" s="130">
        <f t="shared" si="3"/>
        <v>165</v>
      </c>
      <c r="M43" s="131">
        <v>9</v>
      </c>
      <c r="N43" s="131">
        <v>10</v>
      </c>
      <c r="O43" s="131">
        <f t="shared" si="4"/>
        <v>0.9</v>
      </c>
      <c r="P43" s="131">
        <f t="shared" si="2"/>
        <v>0.9</v>
      </c>
      <c r="Q43" s="132" t="s">
        <v>5</v>
      </c>
      <c r="R43" s="133" t="s">
        <v>15</v>
      </c>
      <c r="S43" s="134"/>
      <c r="T43" s="117"/>
    </row>
    <row r="44" spans="1:20" s="135" customFormat="1" ht="31.2">
      <c r="A44" s="114">
        <v>2</v>
      </c>
      <c r="B44" s="114" t="s">
        <v>201</v>
      </c>
      <c r="C44" s="144" t="s">
        <v>46</v>
      </c>
      <c r="D44" s="146" t="s">
        <v>134</v>
      </c>
      <c r="E44" s="137" t="s">
        <v>183</v>
      </c>
      <c r="F44" s="138"/>
      <c r="G44" s="142" t="s">
        <v>34</v>
      </c>
      <c r="H44" s="127" t="s">
        <v>4</v>
      </c>
      <c r="I44" s="119">
        <v>10000</v>
      </c>
      <c r="J44" s="128" t="s">
        <v>41</v>
      </c>
      <c r="K44" s="139">
        <v>0.09</v>
      </c>
      <c r="L44" s="130">
        <f t="shared" si="3"/>
        <v>900</v>
      </c>
      <c r="M44" s="131">
        <v>30</v>
      </c>
      <c r="N44" s="131">
        <v>32</v>
      </c>
      <c r="O44" s="131">
        <f t="shared" si="4"/>
        <v>0.9375</v>
      </c>
      <c r="P44" s="131">
        <f t="shared" si="2"/>
        <v>0.9375</v>
      </c>
      <c r="Q44" s="132" t="s">
        <v>5</v>
      </c>
      <c r="R44" s="133" t="s">
        <v>15</v>
      </c>
      <c r="S44" s="134"/>
      <c r="T44" s="117"/>
    </row>
    <row r="45" spans="1:20" s="135" customFormat="1" ht="31.2">
      <c r="A45" s="114">
        <v>2</v>
      </c>
      <c r="B45" s="114" t="s">
        <v>201</v>
      </c>
      <c r="C45" s="144" t="s">
        <v>47</v>
      </c>
      <c r="D45" s="146" t="s">
        <v>135</v>
      </c>
      <c r="E45" s="137" t="s">
        <v>184</v>
      </c>
      <c r="F45" s="138"/>
      <c r="G45" s="142" t="s">
        <v>34</v>
      </c>
      <c r="H45" s="127" t="s">
        <v>4</v>
      </c>
      <c r="I45" s="119">
        <v>7000</v>
      </c>
      <c r="J45" s="128" t="s">
        <v>41</v>
      </c>
      <c r="K45" s="139">
        <v>0.11</v>
      </c>
      <c r="L45" s="130">
        <f t="shared" si="3"/>
        <v>770</v>
      </c>
      <c r="M45" s="131">
        <v>28</v>
      </c>
      <c r="N45" s="131">
        <v>29.25</v>
      </c>
      <c r="O45" s="131">
        <f t="shared" si="4"/>
        <v>0.95726495726495731</v>
      </c>
      <c r="P45" s="131">
        <f t="shared" si="2"/>
        <v>0.95726495726495731</v>
      </c>
      <c r="Q45" s="132" t="s">
        <v>5</v>
      </c>
      <c r="R45" s="133" t="s">
        <v>15</v>
      </c>
      <c r="S45" s="134"/>
      <c r="T45" s="117"/>
    </row>
    <row r="46" spans="1:20" s="135" customFormat="1" ht="31.2">
      <c r="A46" s="114">
        <v>1</v>
      </c>
      <c r="B46" s="114" t="s">
        <v>201</v>
      </c>
      <c r="C46" s="144" t="s">
        <v>45</v>
      </c>
      <c r="D46" s="146" t="s">
        <v>136</v>
      </c>
      <c r="E46" s="137" t="s">
        <v>185</v>
      </c>
      <c r="F46" s="138"/>
      <c r="G46" s="142" t="s">
        <v>34</v>
      </c>
      <c r="H46" s="127" t="s">
        <v>4</v>
      </c>
      <c r="I46" s="119">
        <v>2000</v>
      </c>
      <c r="J46" s="128" t="s">
        <v>41</v>
      </c>
      <c r="K46" s="139">
        <v>0.13</v>
      </c>
      <c r="L46" s="130">
        <f t="shared" si="3"/>
        <v>260</v>
      </c>
      <c r="M46" s="131">
        <v>11</v>
      </c>
      <c r="N46" s="131">
        <v>12</v>
      </c>
      <c r="O46" s="131">
        <f t="shared" si="4"/>
        <v>0.91666666666666663</v>
      </c>
      <c r="P46" s="131">
        <f t="shared" si="2"/>
        <v>0.91666666666666663</v>
      </c>
      <c r="Q46" s="132" t="s">
        <v>5</v>
      </c>
      <c r="R46" s="133" t="s">
        <v>15</v>
      </c>
      <c r="S46" s="134"/>
      <c r="T46" s="117"/>
    </row>
    <row r="47" spans="1:20" s="135" customFormat="1" ht="31.2">
      <c r="A47" s="114">
        <v>1</v>
      </c>
      <c r="B47" s="114" t="s">
        <v>201</v>
      </c>
      <c r="C47" s="144" t="s">
        <v>89</v>
      </c>
      <c r="D47" s="146" t="s">
        <v>137</v>
      </c>
      <c r="E47" s="137" t="s">
        <v>186</v>
      </c>
      <c r="F47" s="138"/>
      <c r="G47" s="142" t="s">
        <v>34</v>
      </c>
      <c r="H47" s="127" t="s">
        <v>4</v>
      </c>
      <c r="I47" s="119">
        <v>600</v>
      </c>
      <c r="J47" s="128" t="s">
        <v>41</v>
      </c>
      <c r="K47" s="139">
        <v>0.47</v>
      </c>
      <c r="L47" s="130">
        <f t="shared" si="3"/>
        <v>282</v>
      </c>
      <c r="M47" s="131">
        <v>21</v>
      </c>
      <c r="N47" s="131">
        <v>23</v>
      </c>
      <c r="O47" s="131">
        <f t="shared" si="4"/>
        <v>0.91304347826086951</v>
      </c>
      <c r="P47" s="131">
        <f t="shared" si="2"/>
        <v>0.91304347826086951</v>
      </c>
      <c r="Q47" s="132" t="s">
        <v>5</v>
      </c>
      <c r="R47" s="133" t="s">
        <v>15</v>
      </c>
      <c r="S47" s="134"/>
      <c r="T47" s="117"/>
    </row>
    <row r="48" spans="1:20" s="135" customFormat="1" ht="31.2">
      <c r="A48" s="114">
        <v>1</v>
      </c>
      <c r="B48" s="114" t="s">
        <v>201</v>
      </c>
      <c r="C48" s="144" t="s">
        <v>90</v>
      </c>
      <c r="D48" s="146" t="s">
        <v>138</v>
      </c>
      <c r="E48" s="137" t="s">
        <v>187</v>
      </c>
      <c r="F48" s="138"/>
      <c r="G48" s="142" t="s">
        <v>34</v>
      </c>
      <c r="H48" s="127" t="s">
        <v>4</v>
      </c>
      <c r="I48" s="119">
        <v>600</v>
      </c>
      <c r="J48" s="128" t="s">
        <v>41</v>
      </c>
      <c r="K48" s="139">
        <v>0.44</v>
      </c>
      <c r="L48" s="130">
        <f t="shared" si="3"/>
        <v>264</v>
      </c>
      <c r="M48" s="131">
        <v>17</v>
      </c>
      <c r="N48" s="131">
        <v>19</v>
      </c>
      <c r="O48" s="131">
        <f t="shared" si="4"/>
        <v>0.89473684210526316</v>
      </c>
      <c r="P48" s="131">
        <f t="shared" si="2"/>
        <v>0.89473684210526316</v>
      </c>
      <c r="Q48" s="132" t="s">
        <v>5</v>
      </c>
      <c r="R48" s="133" t="s">
        <v>15</v>
      </c>
      <c r="S48" s="134"/>
      <c r="T48" s="117"/>
    </row>
    <row r="49" spans="1:20" s="135" customFormat="1" ht="31.2">
      <c r="A49" s="114">
        <v>1</v>
      </c>
      <c r="B49" s="114" t="s">
        <v>201</v>
      </c>
      <c r="C49" s="144" t="s">
        <v>49</v>
      </c>
      <c r="D49" s="146" t="s">
        <v>139</v>
      </c>
      <c r="E49" s="137" t="s">
        <v>188</v>
      </c>
      <c r="F49" s="138"/>
      <c r="G49" s="142" t="s">
        <v>34</v>
      </c>
      <c r="H49" s="127" t="s">
        <v>4</v>
      </c>
      <c r="I49" s="119">
        <v>1000</v>
      </c>
      <c r="J49" s="128" t="s">
        <v>41</v>
      </c>
      <c r="K49" s="139">
        <v>0.26</v>
      </c>
      <c r="L49" s="130">
        <f t="shared" si="3"/>
        <v>260</v>
      </c>
      <c r="M49" s="131">
        <v>15</v>
      </c>
      <c r="N49" s="131">
        <v>16</v>
      </c>
      <c r="O49" s="131">
        <f t="shared" si="4"/>
        <v>0.9375</v>
      </c>
      <c r="P49" s="131">
        <f t="shared" si="2"/>
        <v>0.9375</v>
      </c>
      <c r="Q49" s="132" t="s">
        <v>5</v>
      </c>
      <c r="R49" s="133" t="s">
        <v>15</v>
      </c>
      <c r="S49" s="134"/>
      <c r="T49" s="117"/>
    </row>
    <row r="50" spans="1:20" s="135" customFormat="1" ht="31.2">
      <c r="A50" s="114">
        <v>1</v>
      </c>
      <c r="B50" s="114" t="s">
        <v>201</v>
      </c>
      <c r="C50" s="144" t="s">
        <v>91</v>
      </c>
      <c r="D50" s="146" t="s">
        <v>140</v>
      </c>
      <c r="E50" s="137" t="s">
        <v>189</v>
      </c>
      <c r="F50" s="138"/>
      <c r="G50" s="142" t="s">
        <v>190</v>
      </c>
      <c r="H50" s="127" t="s">
        <v>4</v>
      </c>
      <c r="I50" s="119">
        <v>100</v>
      </c>
      <c r="J50" s="128" t="s">
        <v>41</v>
      </c>
      <c r="K50" s="139">
        <v>0.8</v>
      </c>
      <c r="L50" s="130">
        <f t="shared" si="3"/>
        <v>80</v>
      </c>
      <c r="M50" s="131">
        <v>6</v>
      </c>
      <c r="N50" s="131">
        <v>7</v>
      </c>
      <c r="O50" s="131">
        <f t="shared" si="4"/>
        <v>0.8571428571428571</v>
      </c>
      <c r="P50" s="131">
        <f t="shared" si="2"/>
        <v>0.8571428571428571</v>
      </c>
      <c r="Q50" s="132" t="s">
        <v>5</v>
      </c>
      <c r="R50" s="133" t="s">
        <v>15</v>
      </c>
      <c r="S50" s="134"/>
      <c r="T50" s="117"/>
    </row>
    <row r="51" spans="1:20" s="135" customFormat="1" ht="31.2">
      <c r="A51" s="114">
        <v>2</v>
      </c>
      <c r="B51" s="114" t="s">
        <v>201</v>
      </c>
      <c r="C51" s="144" t="s">
        <v>57</v>
      </c>
      <c r="D51" s="147" t="s">
        <v>141</v>
      </c>
      <c r="E51" s="137" t="s">
        <v>191</v>
      </c>
      <c r="F51" s="138"/>
      <c r="G51" s="142" t="s">
        <v>190</v>
      </c>
      <c r="H51" s="127" t="s">
        <v>4</v>
      </c>
      <c r="I51" s="119">
        <v>200</v>
      </c>
      <c r="J51" s="128" t="s">
        <v>41</v>
      </c>
      <c r="K51" s="139">
        <v>0.6</v>
      </c>
      <c r="L51" s="130">
        <f t="shared" si="3"/>
        <v>120</v>
      </c>
      <c r="M51" s="131">
        <v>10</v>
      </c>
      <c r="N51" s="131">
        <v>11</v>
      </c>
      <c r="O51" s="131">
        <f t="shared" si="4"/>
        <v>0.90909090909090906</v>
      </c>
      <c r="P51" s="131">
        <f t="shared" si="2"/>
        <v>0.90909090909090906</v>
      </c>
      <c r="Q51" s="132" t="s">
        <v>5</v>
      </c>
      <c r="R51" s="133" t="s">
        <v>15</v>
      </c>
      <c r="S51" s="134"/>
      <c r="T51" s="117"/>
    </row>
    <row r="52" spans="1:20" s="8" customFormat="1" ht="36.75" customHeight="1">
      <c r="A52" s="86">
        <v>2</v>
      </c>
      <c r="B52" s="86" t="s">
        <v>201</v>
      </c>
      <c r="C52" s="100" t="s">
        <v>58</v>
      </c>
      <c r="D52" s="111" t="s">
        <v>142</v>
      </c>
      <c r="E52" s="93" t="s">
        <v>192</v>
      </c>
      <c r="F52" s="94"/>
      <c r="G52" s="96" t="s">
        <v>190</v>
      </c>
      <c r="H52" s="87" t="s">
        <v>4</v>
      </c>
      <c r="I52" s="119">
        <v>200</v>
      </c>
      <c r="J52" s="88" t="s">
        <v>41</v>
      </c>
      <c r="K52" s="113">
        <v>0.6</v>
      </c>
      <c r="L52" s="89">
        <f t="shared" si="3"/>
        <v>120</v>
      </c>
      <c r="M52" s="90">
        <v>10</v>
      </c>
      <c r="N52" s="90">
        <v>11</v>
      </c>
      <c r="O52" s="90">
        <f t="shared" si="4"/>
        <v>0.90909090909090906</v>
      </c>
      <c r="P52" s="90">
        <f t="shared" si="2"/>
        <v>0.90909090909090906</v>
      </c>
      <c r="Q52" s="91" t="s">
        <v>5</v>
      </c>
      <c r="R52" s="92" t="s">
        <v>15</v>
      </c>
      <c r="S52" s="7"/>
      <c r="T52" s="13"/>
    </row>
    <row r="53" spans="1:20" s="8" customFormat="1" ht="46.8">
      <c r="A53" s="86">
        <v>48</v>
      </c>
      <c r="B53" s="86">
        <v>1</v>
      </c>
      <c r="C53" s="98" t="s">
        <v>59</v>
      </c>
      <c r="D53" s="112" t="s">
        <v>143</v>
      </c>
      <c r="E53" s="93" t="s">
        <v>193</v>
      </c>
      <c r="F53" s="94"/>
      <c r="G53" s="87" t="s">
        <v>34</v>
      </c>
      <c r="H53" s="87" t="s">
        <v>194</v>
      </c>
      <c r="I53" s="119">
        <v>12000</v>
      </c>
      <c r="J53" s="88" t="s">
        <v>35</v>
      </c>
      <c r="K53" s="113">
        <v>7.1999999999999995E-2</v>
      </c>
      <c r="L53" s="89">
        <f t="shared" si="3"/>
        <v>863.99999999999989</v>
      </c>
      <c r="M53" s="90">
        <v>312</v>
      </c>
      <c r="N53" s="90">
        <v>360</v>
      </c>
      <c r="O53" s="90">
        <f t="shared" si="4"/>
        <v>0.8666666666666667</v>
      </c>
      <c r="P53" s="90">
        <f t="shared" si="2"/>
        <v>0.8666666666666667</v>
      </c>
      <c r="Q53" s="91" t="s">
        <v>5</v>
      </c>
      <c r="R53" s="92" t="s">
        <v>15</v>
      </c>
      <c r="S53" s="7"/>
      <c r="T53" s="13"/>
    </row>
    <row r="54" spans="1:20" s="8" customFormat="1" ht="46.8">
      <c r="A54" s="86">
        <v>4</v>
      </c>
      <c r="B54" s="86" t="s">
        <v>201</v>
      </c>
      <c r="C54" s="99" t="s">
        <v>60</v>
      </c>
      <c r="D54" s="112" t="s">
        <v>143</v>
      </c>
      <c r="E54" s="95" t="s">
        <v>195</v>
      </c>
      <c r="F54" s="94"/>
      <c r="G54" s="87" t="s">
        <v>34</v>
      </c>
      <c r="H54" s="87" t="s">
        <v>194</v>
      </c>
      <c r="I54" s="119">
        <v>1000</v>
      </c>
      <c r="J54" s="88" t="s">
        <v>35</v>
      </c>
      <c r="K54" s="113">
        <v>7.1999999999999995E-2</v>
      </c>
      <c r="L54" s="89">
        <f t="shared" si="3"/>
        <v>72</v>
      </c>
      <c r="M54" s="90">
        <v>26</v>
      </c>
      <c r="N54" s="90">
        <v>30</v>
      </c>
      <c r="O54" s="90">
        <f t="shared" si="4"/>
        <v>0.8666666666666667</v>
      </c>
      <c r="P54" s="90">
        <f t="shared" si="2"/>
        <v>0.8666666666666667</v>
      </c>
      <c r="Q54" s="91" t="s">
        <v>5</v>
      </c>
      <c r="R54" s="92" t="s">
        <v>15</v>
      </c>
      <c r="S54" s="7"/>
      <c r="T54" s="13"/>
    </row>
    <row r="55" spans="1:20" s="8" customFormat="1" ht="46.8">
      <c r="A55" s="86">
        <v>28</v>
      </c>
      <c r="B55" s="86" t="s">
        <v>201</v>
      </c>
      <c r="C55" s="98" t="s">
        <v>61</v>
      </c>
      <c r="D55" s="112" t="s">
        <v>143</v>
      </c>
      <c r="E55" s="95" t="s">
        <v>196</v>
      </c>
      <c r="F55" s="94"/>
      <c r="G55" s="87" t="s">
        <v>34</v>
      </c>
      <c r="H55" s="87" t="s">
        <v>194</v>
      </c>
      <c r="I55" s="119">
        <v>7000</v>
      </c>
      <c r="J55" s="88" t="s">
        <v>35</v>
      </c>
      <c r="K55" s="113">
        <v>7.1999999999999995E-2</v>
      </c>
      <c r="L55" s="89">
        <f t="shared" si="3"/>
        <v>503.99999999999994</v>
      </c>
      <c r="M55" s="90">
        <v>182</v>
      </c>
      <c r="N55" s="90">
        <v>210</v>
      </c>
      <c r="O55" s="90">
        <f t="shared" si="4"/>
        <v>0.8666666666666667</v>
      </c>
      <c r="P55" s="90">
        <f t="shared" si="2"/>
        <v>0.8666666666666667</v>
      </c>
      <c r="Q55" s="91" t="s">
        <v>5</v>
      </c>
      <c r="R55" s="92" t="s">
        <v>15</v>
      </c>
      <c r="S55" s="7"/>
      <c r="T55" s="13"/>
    </row>
    <row r="56" spans="1:20" s="8" customFormat="1" ht="46.8">
      <c r="A56" s="86">
        <v>1</v>
      </c>
      <c r="B56" s="86" t="s">
        <v>201</v>
      </c>
      <c r="C56" s="98" t="s">
        <v>92</v>
      </c>
      <c r="D56" s="112" t="s">
        <v>143</v>
      </c>
      <c r="E56" s="95" t="s">
        <v>197</v>
      </c>
      <c r="F56" s="94"/>
      <c r="G56" s="87" t="s">
        <v>34</v>
      </c>
      <c r="H56" s="87" t="s">
        <v>194</v>
      </c>
      <c r="I56" s="119">
        <v>250</v>
      </c>
      <c r="J56" s="88" t="s">
        <v>35</v>
      </c>
      <c r="K56" s="113">
        <v>7.1999999999999995E-2</v>
      </c>
      <c r="L56" s="89">
        <f t="shared" si="3"/>
        <v>18</v>
      </c>
      <c r="M56" s="90">
        <v>7</v>
      </c>
      <c r="N56" s="90">
        <v>8</v>
      </c>
      <c r="O56" s="90">
        <f t="shared" si="4"/>
        <v>0.875</v>
      </c>
      <c r="P56" s="90">
        <f t="shared" si="2"/>
        <v>0.875</v>
      </c>
      <c r="Q56" s="91" t="s">
        <v>5</v>
      </c>
      <c r="R56" s="92" t="s">
        <v>15</v>
      </c>
      <c r="S56" s="7"/>
      <c r="T56" s="13"/>
    </row>
    <row r="57" spans="1:20" s="8" customFormat="1" ht="46.8">
      <c r="A57" s="86">
        <v>8</v>
      </c>
      <c r="B57" s="86" t="s">
        <v>201</v>
      </c>
      <c r="C57" s="99" t="s">
        <v>93</v>
      </c>
      <c r="D57" s="112" t="s">
        <v>143</v>
      </c>
      <c r="E57" s="93" t="s">
        <v>198</v>
      </c>
      <c r="F57" s="94"/>
      <c r="G57" s="87" t="s">
        <v>34</v>
      </c>
      <c r="H57" s="87" t="s">
        <v>194</v>
      </c>
      <c r="I57" s="119">
        <v>2000</v>
      </c>
      <c r="J57" s="88" t="s">
        <v>35</v>
      </c>
      <c r="K57" s="113">
        <v>7.1999999999999995E-2</v>
      </c>
      <c r="L57" s="89">
        <f t="shared" si="3"/>
        <v>144</v>
      </c>
      <c r="M57" s="90">
        <v>52</v>
      </c>
      <c r="N57" s="90">
        <v>60</v>
      </c>
      <c r="O57" s="90">
        <f t="shared" si="4"/>
        <v>0.8666666666666667</v>
      </c>
      <c r="P57" s="90">
        <f t="shared" si="2"/>
        <v>0.8666666666666667</v>
      </c>
      <c r="Q57" s="91" t="s">
        <v>5</v>
      </c>
      <c r="R57" s="92" t="s">
        <v>15</v>
      </c>
      <c r="S57" s="7"/>
      <c r="T57" s="13"/>
    </row>
    <row r="58" spans="1:20" s="8" customFormat="1" ht="46.8">
      <c r="A58" s="86">
        <v>4</v>
      </c>
      <c r="B58" s="86" t="s">
        <v>201</v>
      </c>
      <c r="C58" s="99" t="s">
        <v>94</v>
      </c>
      <c r="D58" s="112" t="s">
        <v>143</v>
      </c>
      <c r="E58" s="95" t="s">
        <v>199</v>
      </c>
      <c r="F58" s="94"/>
      <c r="G58" s="87" t="s">
        <v>34</v>
      </c>
      <c r="H58" s="87" t="s">
        <v>194</v>
      </c>
      <c r="I58" s="119">
        <v>1000</v>
      </c>
      <c r="J58" s="88" t="s">
        <v>35</v>
      </c>
      <c r="K58" s="113">
        <v>7.1999999999999995E-2</v>
      </c>
      <c r="L58" s="89">
        <f t="shared" si="3"/>
        <v>72</v>
      </c>
      <c r="M58" s="90">
        <v>26</v>
      </c>
      <c r="N58" s="90">
        <v>30</v>
      </c>
      <c r="O58" s="90">
        <f t="shared" si="4"/>
        <v>0.8666666666666667</v>
      </c>
      <c r="P58" s="90">
        <f t="shared" si="2"/>
        <v>0.8666666666666667</v>
      </c>
      <c r="Q58" s="91" t="s">
        <v>5</v>
      </c>
      <c r="R58" s="92" t="s">
        <v>15</v>
      </c>
      <c r="S58" s="7"/>
      <c r="T58" s="13"/>
    </row>
    <row r="59" spans="1:20" s="14" customFormat="1" ht="15.75" customHeight="1">
      <c r="A59" s="64">
        <f>SUM(A6:A58)</f>
        <v>177</v>
      </c>
      <c r="B59" s="64">
        <f>SUM(B6:B58)</f>
        <v>2</v>
      </c>
      <c r="C59" s="56"/>
      <c r="D59" s="57"/>
      <c r="E59" s="56"/>
      <c r="F59" s="56"/>
      <c r="G59" s="56"/>
      <c r="H59" s="56"/>
      <c r="I59" s="120">
        <f>SUM(I6:I58)</f>
        <v>80905</v>
      </c>
      <c r="J59" s="104"/>
      <c r="K59" s="64"/>
      <c r="L59" s="74">
        <f>SUM(L6:L58)</f>
        <v>25630.7</v>
      </c>
      <c r="M59" s="74">
        <f>SUM(M6:M58)</f>
        <v>1998</v>
      </c>
      <c r="N59" s="74">
        <f>SUM(N6:N58)</f>
        <v>2201</v>
      </c>
      <c r="O59" s="74"/>
      <c r="P59" s="74"/>
      <c r="Q59" s="56"/>
      <c r="R59" s="56"/>
      <c r="S59" s="56" t="e">
        <f>SUM(#REF!)</f>
        <v>#REF!</v>
      </c>
      <c r="T59" s="56" t="e">
        <f>SUM(#REF!)</f>
        <v>#REF!</v>
      </c>
    </row>
    <row r="60" spans="1:20">
      <c r="H60" s="55"/>
      <c r="I60" s="121"/>
      <c r="J60" s="105"/>
      <c r="K60" s="65"/>
      <c r="L60" s="65"/>
      <c r="M60" s="65"/>
      <c r="N60" s="65"/>
      <c r="O60" s="65"/>
      <c r="P60" s="65"/>
      <c r="Q60" s="47"/>
      <c r="R60" s="47"/>
      <c r="S60" s="47" t="e">
        <f>#REF!+#REF!</f>
        <v>#REF!</v>
      </c>
      <c r="T60" s="47"/>
    </row>
    <row r="61" spans="1:20">
      <c r="H61" s="42"/>
    </row>
    <row r="62" spans="1:20" s="22" customFormat="1" ht="15.6">
      <c r="A62" s="29" t="s">
        <v>18</v>
      </c>
      <c r="B62" s="29"/>
      <c r="C62" s="21"/>
      <c r="E62" s="23"/>
      <c r="F62" s="23"/>
      <c r="G62" s="23"/>
      <c r="H62" s="24"/>
      <c r="I62" s="53"/>
      <c r="J62" s="53"/>
      <c r="K62" s="67"/>
      <c r="L62" s="67"/>
      <c r="M62" s="67"/>
      <c r="N62" s="67"/>
      <c r="O62" s="67"/>
      <c r="P62" s="67"/>
      <c r="Q62" s="23"/>
    </row>
    <row r="63" spans="1:20" s="22" customFormat="1" ht="15.6">
      <c r="A63" s="29" t="s">
        <v>19</v>
      </c>
      <c r="B63" s="29"/>
      <c r="C63" s="21"/>
      <c r="D63" s="27"/>
      <c r="E63" s="23"/>
      <c r="F63" s="23"/>
      <c r="G63" s="23"/>
      <c r="H63" s="28"/>
      <c r="I63" s="26"/>
      <c r="J63" s="26"/>
      <c r="K63" s="33"/>
      <c r="L63" s="31"/>
      <c r="M63" s="31"/>
      <c r="N63" s="31"/>
      <c r="O63" s="31"/>
      <c r="P63" s="31"/>
      <c r="Q63" s="23"/>
    </row>
    <row r="64" spans="1:20" s="30" customFormat="1" ht="15.6">
      <c r="A64" s="29" t="s">
        <v>200</v>
      </c>
      <c r="B64" s="29"/>
      <c r="C64" s="29"/>
      <c r="E64" s="31"/>
      <c r="F64" s="31"/>
      <c r="G64" s="31"/>
      <c r="H64" s="32"/>
      <c r="I64" s="32"/>
      <c r="J64" s="26"/>
      <c r="K64" s="33"/>
      <c r="L64" s="31"/>
      <c r="M64" s="31"/>
      <c r="N64" s="31"/>
      <c r="O64" s="31"/>
      <c r="P64" s="31"/>
      <c r="Q64" s="31"/>
    </row>
    <row r="65" spans="1:22" s="22" customFormat="1" ht="35.25" customHeight="1">
      <c r="A65" s="152" t="s">
        <v>31</v>
      </c>
      <c r="B65" s="152"/>
      <c r="C65" s="152"/>
      <c r="D65" s="152"/>
      <c r="E65" s="152"/>
      <c r="F65" s="152"/>
      <c r="G65" s="152"/>
      <c r="H65" s="152"/>
      <c r="I65" s="152"/>
      <c r="J65" s="152"/>
      <c r="K65" s="152"/>
      <c r="L65" s="152"/>
      <c r="M65" s="152"/>
      <c r="N65" s="152"/>
      <c r="O65" s="152"/>
      <c r="P65" s="152"/>
      <c r="Q65" s="152"/>
      <c r="R65" s="152"/>
      <c r="S65" s="152"/>
    </row>
    <row r="66" spans="1:22" s="52" customFormat="1" ht="27" customHeight="1">
      <c r="A66" s="156" t="s">
        <v>37</v>
      </c>
      <c r="B66" s="156"/>
      <c r="C66" s="156"/>
      <c r="D66" s="156"/>
      <c r="E66" s="156"/>
      <c r="F66" s="156"/>
      <c r="G66" s="156"/>
      <c r="H66" s="156"/>
      <c r="I66" s="156"/>
      <c r="J66" s="156"/>
      <c r="K66" s="156"/>
      <c r="L66" s="156"/>
      <c r="M66" s="156"/>
      <c r="N66" s="51"/>
      <c r="O66" s="51"/>
      <c r="P66" s="51"/>
      <c r="Q66" s="50"/>
      <c r="R66" s="51"/>
      <c r="S66" s="50"/>
      <c r="T66" s="50"/>
      <c r="U66" s="50"/>
      <c r="V66" s="50"/>
    </row>
    <row r="67" spans="1:22" s="43" customFormat="1" ht="21.75" customHeight="1">
      <c r="A67" s="155" t="s">
        <v>32</v>
      </c>
      <c r="B67" s="155"/>
      <c r="C67" s="155"/>
      <c r="D67" s="155"/>
      <c r="E67" s="155"/>
      <c r="F67" s="155"/>
      <c r="G67" s="155"/>
      <c r="H67" s="155"/>
      <c r="I67" s="155"/>
      <c r="J67" s="155"/>
      <c r="K67" s="155"/>
      <c r="L67" s="155"/>
      <c r="M67" s="155"/>
      <c r="N67" s="155"/>
      <c r="O67" s="155"/>
      <c r="P67" s="155"/>
      <c r="Q67" s="155"/>
      <c r="R67" s="155"/>
    </row>
    <row r="68" spans="1:22" s="43" customFormat="1" ht="21.75" customHeight="1">
      <c r="A68" s="84" t="s">
        <v>33</v>
      </c>
      <c r="B68" s="84"/>
      <c r="C68" s="46"/>
      <c r="D68" s="44"/>
      <c r="H68" s="45"/>
      <c r="I68" s="123"/>
      <c r="J68" s="107"/>
      <c r="K68" s="68"/>
      <c r="L68" s="75"/>
      <c r="M68" s="75"/>
      <c r="N68" s="76"/>
      <c r="O68" s="76"/>
      <c r="P68" s="76"/>
    </row>
    <row r="69" spans="1:22" s="35" customFormat="1" ht="21.75" customHeight="1">
      <c r="A69" s="153" t="s">
        <v>30</v>
      </c>
      <c r="B69" s="153"/>
      <c r="C69" s="153"/>
      <c r="D69" s="153"/>
      <c r="E69" s="153"/>
      <c r="F69" s="153"/>
      <c r="G69" s="153"/>
      <c r="H69" s="153"/>
      <c r="I69" s="153"/>
      <c r="J69" s="153"/>
      <c r="K69" s="153"/>
      <c r="L69" s="153"/>
      <c r="M69" s="153"/>
      <c r="N69" s="153"/>
      <c r="O69" s="153"/>
      <c r="P69" s="153"/>
      <c r="Q69" s="153"/>
      <c r="R69" s="153"/>
      <c r="S69" s="153"/>
    </row>
    <row r="70" spans="1:22" s="22" customFormat="1" ht="15.75" customHeight="1">
      <c r="A70" s="38" t="s">
        <v>25</v>
      </c>
      <c r="B70" s="38"/>
      <c r="C70" s="36"/>
      <c r="D70" s="20"/>
      <c r="E70" s="23"/>
      <c r="F70" s="23"/>
      <c r="G70" s="23"/>
      <c r="H70" s="151" t="s">
        <v>20</v>
      </c>
      <c r="I70" s="151"/>
      <c r="J70" s="108"/>
      <c r="K70" s="59"/>
      <c r="L70" s="39"/>
      <c r="M70" s="31"/>
      <c r="N70" s="77"/>
      <c r="O70" s="77"/>
      <c r="P70" s="77"/>
      <c r="Q70" s="34"/>
    </row>
    <row r="71" spans="1:22" s="22" customFormat="1" ht="15.6">
      <c r="A71" s="38" t="s">
        <v>26</v>
      </c>
      <c r="B71" s="38"/>
      <c r="C71" s="36"/>
      <c r="D71" s="36"/>
      <c r="E71" s="23"/>
      <c r="F71" s="23"/>
      <c r="G71" s="23"/>
      <c r="H71" s="37" t="s">
        <v>21</v>
      </c>
      <c r="I71" s="25"/>
      <c r="J71" s="108"/>
      <c r="K71" s="59"/>
      <c r="L71" s="39"/>
      <c r="M71" s="31"/>
      <c r="N71" s="77"/>
      <c r="O71" s="77"/>
      <c r="P71" s="77"/>
      <c r="Q71" s="34"/>
    </row>
    <row r="72" spans="1:22" s="30" customFormat="1" ht="15.6">
      <c r="A72" s="38" t="s">
        <v>38</v>
      </c>
      <c r="B72" s="38"/>
      <c r="C72" s="38"/>
      <c r="D72" s="38"/>
      <c r="E72" s="31"/>
      <c r="F72" s="31"/>
      <c r="G72" s="31"/>
      <c r="H72" s="154" t="s">
        <v>22</v>
      </c>
      <c r="I72" s="154"/>
      <c r="J72" s="108"/>
      <c r="K72" s="59"/>
      <c r="L72" s="39"/>
      <c r="M72" s="31"/>
    </row>
    <row r="73" spans="1:22" s="30" customFormat="1" ht="18" customHeight="1">
      <c r="A73" s="38" t="s">
        <v>39</v>
      </c>
      <c r="B73" s="38"/>
      <c r="C73" s="38"/>
      <c r="D73" s="40"/>
      <c r="E73" s="31"/>
      <c r="F73" s="31"/>
      <c r="G73" s="31"/>
      <c r="H73" s="154" t="s">
        <v>23</v>
      </c>
      <c r="I73" s="154"/>
      <c r="J73" s="154"/>
      <c r="K73" s="154"/>
      <c r="L73" s="39"/>
      <c r="M73" s="31"/>
      <c r="N73" s="31"/>
      <c r="O73" s="31"/>
      <c r="P73" s="31"/>
      <c r="Q73" s="31"/>
    </row>
    <row r="74" spans="1:22" s="22" customFormat="1" ht="19.95" customHeight="1">
      <c r="A74" s="38" t="s">
        <v>40</v>
      </c>
      <c r="B74" s="38"/>
      <c r="C74" s="36"/>
      <c r="D74" s="36"/>
      <c r="E74" s="23"/>
      <c r="F74" s="23"/>
      <c r="G74" s="23"/>
      <c r="H74" s="151" t="s">
        <v>28</v>
      </c>
      <c r="I74" s="151"/>
      <c r="J74" s="151"/>
      <c r="K74" s="151"/>
      <c r="L74" s="151"/>
      <c r="M74" s="151"/>
      <c r="N74" s="151"/>
      <c r="O74" s="58"/>
      <c r="P74" s="97"/>
      <c r="Q74" s="23"/>
    </row>
    <row r="75" spans="1:22" s="22" customFormat="1" ht="15.6">
      <c r="A75" s="85" t="s">
        <v>27</v>
      </c>
      <c r="B75" s="85"/>
      <c r="C75" s="41"/>
      <c r="D75" s="36"/>
      <c r="E75" s="23"/>
      <c r="F75" s="23"/>
      <c r="G75" s="23"/>
      <c r="H75" s="37" t="s">
        <v>24</v>
      </c>
      <c r="I75" s="25"/>
      <c r="J75" s="109"/>
      <c r="K75" s="69"/>
      <c r="L75" s="39"/>
      <c r="M75" s="78"/>
      <c r="N75" s="31"/>
      <c r="O75" s="31"/>
      <c r="P75" s="31"/>
      <c r="Q75" s="23"/>
    </row>
  </sheetData>
  <autoFilter ref="A5:S60"/>
  <mergeCells count="8">
    <mergeCell ref="H74:N74"/>
    <mergeCell ref="A65:S65"/>
    <mergeCell ref="A69:S69"/>
    <mergeCell ref="H70:I70"/>
    <mergeCell ref="H72:I72"/>
    <mergeCell ref="H73:K73"/>
    <mergeCell ref="A67:R67"/>
    <mergeCell ref="A66:M66"/>
  </mergeCells>
  <conditionalFormatting sqref="A66:B66">
    <cfRule type="duplicateValues" dxfId="19" priority="5"/>
  </conditionalFormatting>
  <conditionalFormatting sqref="A1:C2">
    <cfRule type="duplicateValues" dxfId="18" priority="24"/>
    <cfRule type="duplicateValues" dxfId="17" priority="25"/>
  </conditionalFormatting>
  <conditionalFormatting sqref="A62:C64">
    <cfRule type="duplicateValues" dxfId="16" priority="19"/>
    <cfRule type="duplicateValues" dxfId="15" priority="20"/>
    <cfRule type="duplicateValues" dxfId="14" priority="21"/>
    <cfRule type="duplicateValues" dxfId="13" priority="22"/>
    <cfRule type="duplicateValues" dxfId="12" priority="23"/>
  </conditionalFormatting>
  <conditionalFormatting sqref="A65:C65">
    <cfRule type="duplicateValues" dxfId="11" priority="11"/>
    <cfRule type="duplicateValues" dxfId="10" priority="12"/>
    <cfRule type="duplicateValues" dxfId="9" priority="13"/>
    <cfRule type="duplicateValues" dxfId="8" priority="14"/>
  </conditionalFormatting>
  <conditionalFormatting sqref="A70:C75">
    <cfRule type="duplicateValues" dxfId="7" priority="15"/>
    <cfRule type="duplicateValues" dxfId="6" priority="16"/>
    <cfRule type="duplicateValues" dxfId="5" priority="17"/>
    <cfRule type="duplicateValues" dxfId="4" priority="18"/>
  </conditionalFormatting>
  <conditionalFormatting sqref="C54">
    <cfRule type="duplicateValues" dxfId="3" priority="4"/>
  </conditionalFormatting>
  <conditionalFormatting sqref="C55">
    <cfRule type="duplicateValues" dxfId="2" priority="3"/>
  </conditionalFormatting>
  <conditionalFormatting sqref="C56">
    <cfRule type="duplicateValues" dxfId="1" priority="2"/>
  </conditionalFormatting>
  <conditionalFormatting sqref="C58">
    <cfRule type="duplicateValues" dxfId="0" priority="1"/>
  </conditionalFormatting>
  <pageMargins left="0.70866141732283472" right="0.70866141732283472" top="0.74803149606299213" bottom="0.74803149606299213" header="0.31496062992125984" footer="0.31496062992125984"/>
  <pageSetup paperSize="9" scale="4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спецификация</vt:lpstr>
      <vt:lpstr>спецификация!Область_печати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adile</dc:creator>
  <cp:lastModifiedBy>User</cp:lastModifiedBy>
  <cp:lastPrinted>2024-11-12T15:20:22Z</cp:lastPrinted>
  <dcterms:created xsi:type="dcterms:W3CDTF">2015-06-05T18:19:34Z</dcterms:created>
  <dcterms:modified xsi:type="dcterms:W3CDTF">2025-04-09T11:22:28Z</dcterms:modified>
</cp:coreProperties>
</file>