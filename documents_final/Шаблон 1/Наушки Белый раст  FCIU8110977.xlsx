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840" tabRatio="751"/>
  </bookViews>
  <sheets>
    <sheet name="инвойс-спецификaция" sheetId="1" r:id="rId1"/>
    <sheet name="Спецификация" sheetId="2" state="hidden" r:id="rId2"/>
  </sheets>
  <externalReferences>
    <externalReference r:id="rId3"/>
    <externalReference r:id="rId4"/>
  </externalReferences>
  <definedNames>
    <definedName name="__FOR1">#REF!+#REF!</definedName>
    <definedName name="_FOR1">#REF!+#REF!</definedName>
    <definedName name="_xlnm._FilterDatabase" localSheetId="0" hidden="1">'инвойс-спецификaция'!#REF!</definedName>
    <definedName name="a">[1]Расчет!#REF!</definedName>
    <definedName name="AAAA">#REF!</definedName>
    <definedName name="Betrag">[2]RUSSWERE!#REF!</definedName>
    <definedName name="Code">#REF!</definedName>
    <definedName name="Data">#REF!</definedName>
    <definedName name="DclHData">#REF!</definedName>
    <definedName name="Description">#REF!</definedName>
    <definedName name="Gesamt">#REF!</definedName>
    <definedName name="Kg">#REF!</definedName>
    <definedName name="MARIA">[2]RUSSWERE!#REF!</definedName>
    <definedName name="Mehrwertsteuer">[2]RUSSWERE!#REF!</definedName>
    <definedName name="Qty">#REF!</definedName>
    <definedName name="short">#REF!</definedName>
    <definedName name="Spec">[1]Расчет!#REF!</definedName>
    <definedName name="Z_16AF4AE3_7F7B_11D6_90F3_000021440C3F_.wvu.Cols" hidden="1">#REF!</definedName>
    <definedName name="Z_16AF4AE3_7F7B_11D6_90F3_000021440C3F_.wvu.FilterData" hidden="1">#REF!</definedName>
    <definedName name="Zwischensumme">[2]RUSSWERE!#REF!</definedName>
    <definedName name="акты">#REF!</definedName>
    <definedName name="Валюта_инвойса">#REF!</definedName>
    <definedName name="Вес_гр">#REF!</definedName>
    <definedName name="декл">#REF!</definedName>
    <definedName name="Единица">#REF!</definedName>
    <definedName name="Интервал">#REF!</definedName>
    <definedName name="Исх">#REF!</definedName>
    <definedName name="Итого">#REF!</definedName>
    <definedName name="кк">#REF!</definedName>
    <definedName name="Кор_гр">#REF!</definedName>
    <definedName name="Курсы">#REF!</definedName>
    <definedName name="М3">#REF!</definedName>
    <definedName name="Номер_TIR">#REF!</definedName>
    <definedName name="_xlnm.Print_Area" localSheetId="0">'инвойс-спецификaция'!$A$1:$K$24</definedName>
    <definedName name="_xlnm.Print_Area" localSheetId="1">Спецификация!$A$1:$N$44</definedName>
    <definedName name="ОООО">#REF!</definedName>
    <definedName name="Сертифы">#REF!</definedName>
    <definedName name="Сумма">#REF!</definedName>
    <definedName name="штучки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1"/>
  <c r="H16" l="1"/>
  <c r="I16"/>
  <c r="K16" l="1"/>
  <c r="L32" i="2" l="1"/>
  <c r="K32"/>
  <c r="J32"/>
  <c r="I32"/>
  <c r="N31"/>
  <c r="N30"/>
  <c r="N29"/>
  <c r="N32" l="1"/>
  <c r="E16" i="1" l="1"/>
  <c r="G16"/>
</calcChain>
</file>

<file path=xl/sharedStrings.xml><?xml version="1.0" encoding="utf-8"?>
<sst xmlns="http://schemas.openxmlformats.org/spreadsheetml/2006/main" count="115" uniqueCount="103">
  <si>
    <t>SPECIFICATION / СПЕЦИФИКАЦИЯ</t>
  </si>
  <si>
    <t>No.</t>
  </si>
  <si>
    <t>HS Code / 
Код ТН ВЭД ТС</t>
  </si>
  <si>
    <t>Описание товаров/description of goods</t>
  </si>
  <si>
    <t>Article / Model
 Артикул / Модель</t>
  </si>
  <si>
    <t>Trademark/ Товарный знак</t>
  </si>
  <si>
    <t>Qty  boxes / Кол-во коробок</t>
  </si>
  <si>
    <t>Gross weight kg / Вес брутто кг</t>
  </si>
  <si>
    <t>Net weight kg / Вес нетто кг</t>
  </si>
  <si>
    <t>Amount USD / Стоимость  USD</t>
  </si>
  <si>
    <t>TOTAL: / ИТОГО:</t>
  </si>
  <si>
    <t>ПЕЧАТЬ/stamp</t>
  </si>
  <si>
    <t>TONGJIANG CITY HONGDONGXU TRADING CO., LTD</t>
  </si>
  <si>
    <t>NO.l BUILDING WUJIN COMMUNITY, TONGJIANG STREET, WEST DISTRICT, TONGJIANG CITY</t>
  </si>
  <si>
    <t>Contract No.:/Контракт №:</t>
  </si>
  <si>
    <t xml:space="preserve">CHT/1-11 dd. 01.11.2012 </t>
  </si>
  <si>
    <t>No.:</t>
  </si>
  <si>
    <t>010</t>
  </si>
  <si>
    <t>Date / Дата</t>
  </si>
  <si>
    <t>Seller: / Продавец:</t>
  </si>
  <si>
    <t>Buyer: / Покупатель:</t>
  </si>
  <si>
    <t>TONGJIANG CITY HONGDONGXU TRADING CO., LTD;</t>
  </si>
  <si>
    <t>ООО "ЯнСтрой"</t>
  </si>
  <si>
    <t xml:space="preserve">Address: NO.l BUILDING WUJIN COMMUNITY, TONGJIANG STREET, </t>
  </si>
  <si>
    <t>Адрес: 125252, Москва, ул. Новопесчаная, дом 17, корп. 3</t>
  </si>
  <si>
    <t>WEST DISTRICT, TONGJIANG CITY</t>
  </si>
  <si>
    <t>ИНН: 7743831826; КПП: 774301001;</t>
  </si>
  <si>
    <t>Registration number: 688856471</t>
  </si>
  <si>
    <t>Банковские реквизиты: Красногорский филиал банка "Возрождение" г. Красногорск</t>
  </si>
  <si>
    <t xml:space="preserve">Bank details: </t>
  </si>
  <si>
    <t>р/счет  (USD) 40702840402200142158</t>
  </si>
  <si>
    <t>Receiving bank: BANK OF CHINA NEWYORK BRANCH</t>
  </si>
  <si>
    <t>р/счет  (EUR) 40702978002200142158</t>
  </si>
  <si>
    <t>SWIFT: BKCHUS33</t>
  </si>
  <si>
    <t>SWIFT: VBNKRUMM</t>
  </si>
  <si>
    <t>A/C 8500020</t>
  </si>
  <si>
    <t xml:space="preserve">Банк-корреспондент: </t>
  </si>
  <si>
    <t>Intermediary: BANK OF CHINA HEILONGJIANG BRANCH</t>
  </si>
  <si>
    <t xml:space="preserve">Acc. 890-0085-681 with Bank of New York Mellon, New York, USA, </t>
  </si>
  <si>
    <t>SWIFT: BKCHCNBJ860</t>
  </si>
  <si>
    <t>SWIFT: IRVTUS3N</t>
  </si>
  <si>
    <t>Account with: BANK OF CHINA TONGJIANG SUB-BRANCH</t>
  </si>
  <si>
    <t>NO.83 DAZHI ROAD TONGJIANG CITY</t>
  </si>
  <si>
    <t>DELIVERY ADDRESS:</t>
  </si>
  <si>
    <t>Account of  beneficiary: 168954932751</t>
  </si>
  <si>
    <t>Moskovskaya region customs , t/p "Istrinskiy", kod 10130020, SVH OOO "ISTRA-TERMINAL"</t>
  </si>
  <si>
    <t xml:space="preserve">SVIDETELSTVO: №10130/200111/10089/2  ad 31.07.2012, </t>
  </si>
  <si>
    <t>143550, Moscow obl., Istrinskiy r-on, pos. Pervomaiskiy, 35</t>
  </si>
  <si>
    <r>
      <rPr>
        <b/>
        <sz val="10"/>
        <color indexed="8"/>
        <rFont val="Times New Roman"/>
        <family val="1"/>
        <charset val="204"/>
      </rPr>
      <t>Terms of payment:</t>
    </r>
    <r>
      <rPr>
        <sz val="10"/>
        <color indexed="8"/>
        <rFont val="Times New Roman"/>
        <family val="1"/>
        <charset val="204"/>
      </rPr>
      <t xml:space="preserve"> The payments under this contract shall be made by  an advance payment for the goods in US dollars in the form of a bank transfer to the account specified by the Seller, within 45 calendar days after the delivery of the goods.</t>
    </r>
  </si>
  <si>
    <r>
      <rPr>
        <b/>
        <sz val="10"/>
        <color indexed="8"/>
        <rFont val="Times New Roman"/>
        <family val="1"/>
        <charset val="204"/>
      </rPr>
      <t>Условия платежа:</t>
    </r>
    <r>
      <rPr>
        <sz val="10"/>
        <color indexed="8"/>
        <rFont val="Times New Roman"/>
        <family val="1"/>
        <charset val="204"/>
      </rPr>
      <t xml:space="preserve"> Платежи по настоящему контракту производятся в долларах США, в форме банковского перевода на счет, указанный Продавцом, в течение 45 календарных дней после поставки товаров.</t>
    </r>
  </si>
  <si>
    <r>
      <rPr>
        <b/>
        <sz val="10"/>
        <color indexed="8"/>
        <rFont val="Times New Roman"/>
        <family val="1"/>
        <charset val="204"/>
      </rPr>
      <t>Terms of delivery:</t>
    </r>
    <r>
      <rPr>
        <sz val="10"/>
        <color indexed="8"/>
        <rFont val="Times New Roman"/>
        <family val="1"/>
        <charset val="204"/>
      </rPr>
      <t xml:space="preserve"> FCA-KOTKA</t>
    </r>
  </si>
  <si>
    <r>
      <rPr>
        <b/>
        <sz val="10"/>
        <color indexed="8"/>
        <rFont val="Times New Roman"/>
        <family val="1"/>
        <charset val="204"/>
      </rPr>
      <t xml:space="preserve">Условия поставки: </t>
    </r>
    <r>
      <rPr>
        <sz val="10"/>
        <color indexed="8"/>
        <rFont val="Times New Roman"/>
        <family val="1"/>
        <charset val="204"/>
      </rPr>
      <t xml:space="preserve">FCA-KOTKA </t>
    </r>
  </si>
  <si>
    <t>Описание товаров</t>
  </si>
  <si>
    <t>Description of merchandise</t>
  </si>
  <si>
    <t>Manufacturer/ Производитель</t>
  </si>
  <si>
    <t>Country of origin / Страна</t>
  </si>
  <si>
    <t>Qty pcs / Кол-вошт.</t>
  </si>
  <si>
    <t>Gross weight / Вес брутто</t>
  </si>
  <si>
    <t>Net weight / Вес нетто</t>
  </si>
  <si>
    <t>Price per pcs / Цена за шт.</t>
  </si>
  <si>
    <t>ВЕЛОСИПЕД, (диаметр колеса 20 дюймов, рама - аллюминий)</t>
  </si>
  <si>
    <t>BICYCLE CHILD</t>
  </si>
  <si>
    <t>LAGUNA 20</t>
  </si>
  <si>
    <t xml:space="preserve">Yongqi (Changzhou) bicycle industrial co., ltd </t>
  </si>
  <si>
    <t>GT</t>
  </si>
  <si>
    <t>КИТАЙ</t>
  </si>
  <si>
    <t>AGGRESSOR 1.0</t>
  </si>
  <si>
    <t>AGGRESSOR 2.0</t>
  </si>
  <si>
    <t>Jiang Chzhunmin</t>
  </si>
  <si>
    <t xml:space="preserve">Геннадий Мамин  </t>
  </si>
  <si>
    <t>Станция назначения:</t>
  </si>
  <si>
    <t>Страна назначения:</t>
  </si>
  <si>
    <t>Страна происхождения товара</t>
  </si>
  <si>
    <t>КНР</t>
  </si>
  <si>
    <t>РФ</t>
  </si>
  <si>
    <t>Date / Дата:</t>
  </si>
  <si>
    <t>Total</t>
  </si>
  <si>
    <t>Договор №:</t>
  </si>
  <si>
    <t>Покупатель</t>
  </si>
  <si>
    <t>Buyer</t>
  </si>
  <si>
    <t>CEO/Генеральный Директор</t>
  </si>
  <si>
    <t>№:</t>
  </si>
  <si>
    <t>Terms of delivery / Условия поставки:</t>
  </si>
  <si>
    <t>Container / Контейнер</t>
  </si>
  <si>
    <t>Отправитель/Продавец</t>
  </si>
  <si>
    <t>Shipper/Seller</t>
  </si>
  <si>
    <t>Все товары являются новыми, не бывшими в употрелении и не являются товарами военного назначения и опасными отходами, все товары не применяются в хозяйственно питьевой деятельности.</t>
  </si>
  <si>
    <t>INVOICE-SPECIFICATION / ИНВОЙС-СПЕЦИФИКАЦИЯ</t>
  </si>
  <si>
    <t>Получатель по ст. Белый Раст - LLC TLC Bely Rast ООО «ТЛЦ «Белый Раст» 141870,Россия, Московская область, Дмитровский район, с.Белый Раст, вл.112, стр. 1,лит.Б ИНН 7703543814/ КПП 500701001 ОГРН 1057746339562, ОКПО 76566833 тел/факс (495)240-95-60 (945)  Код получателя: ТГНЛ 6503</t>
  </si>
  <si>
    <t>Белый Раст</t>
  </si>
  <si>
    <t>Package/вид упаковки</t>
  </si>
  <si>
    <t>FOB SHANGHAI</t>
  </si>
  <si>
    <t>FCIU8110977</t>
  </si>
  <si>
    <t>MP-20210606</t>
  </si>
  <si>
    <t>JH21024</t>
  </si>
  <si>
    <t>Qty of packages/Кол-во мест</t>
  </si>
  <si>
    <t>Qty pcs / Кол-во in</t>
  </si>
  <si>
    <t>Price per pcs, $ / Цена за шт, $</t>
  </si>
  <si>
    <t>Amount $/ Общая стоимость, $</t>
  </si>
  <si>
    <t>pallet, polyethylene film, wooden boxesl/поддон, п/э пленка, деревянные ящики</t>
  </si>
  <si>
    <t>M-G(2100)Automatic nonwoven fabrics folding machine/M-G (2100) Автоматическая установка для складывания нетканых материалов</t>
  </si>
  <si>
    <t>JIAHUI IMPORT AND EXPORT TRADELIMITED Add: Room 1302, 13/F, Cheong K Building 84-86Des Voeux Road Central Centralhong Kong.
Джианху Импорт и экспорт Трейдлимитед
Адрес: Комната 1302, 13 / F, Cheong K Building 84-86Des Voeux Road Central Centralhong Kong.</t>
  </si>
  <si>
    <t>Megaplast Production OOO Add.: of registration RF, 142300, Moscow reg, Chehov, Simferopolskoye shosse, 3A, off. 1/5
ООО Мегапласт Продакшн
Адрес: Россия, 
142300, Московская обл, г. Чехов, Симферопольское шоссе, д. 3А, оф. 1/5</t>
  </si>
</sst>
</file>

<file path=xl/styles.xml><?xml version="1.0" encoding="utf-8"?>
<styleSheet xmlns="http://schemas.openxmlformats.org/spreadsheetml/2006/main">
  <numFmts count="19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\ &quot;р.&quot;_-;\-* #,##0\ &quot;р.&quot;_-;_-* &quot;-&quot;\ &quot;р.&quot;_-;_-@_-"/>
    <numFmt numFmtId="167" formatCode="_-* #,##0\ &quot;руб.&quot;_-;\-* #,##0\ &quot;руб.&quot;_-;_-* &quot;-&quot;\ &quot;руб.&quot;_-;_-@_-"/>
    <numFmt numFmtId="168" formatCode="#."/>
    <numFmt numFmtId="169" formatCode="_-* #,##0\ _р_у_б_._-;\-* #,##0\ _р_у_б_._-;_-* &quot;-&quot;\ _р_у_б_._-;_-@_-"/>
    <numFmt numFmtId="170" formatCode="_ * #,##0.00_ ;_ * \-#,##0.00_ ;_ * &quot;-&quot;??_ ;_ @_ "/>
    <numFmt numFmtId="171" formatCode="_ * #,##0_ ;_ * \-#,##0_ ;_ * &quot;-&quot;_ ;_ @_ "/>
    <numFmt numFmtId="172" formatCode="[$$-409]#,##0.00;\-[$$-409]#,##0.00"/>
    <numFmt numFmtId="173" formatCode="0.00_);[Red]\(0.00\)"/>
    <numFmt numFmtId="174" formatCode="_ &quot;\&quot;* #,##0.00_ ;_ &quot;\&quot;* \-#,##0.00_ ;_ &quot;\&quot;* &quot;-&quot;??_ ;_ @_ "/>
    <numFmt numFmtId="175" formatCode="0.00_ "/>
    <numFmt numFmtId="176" formatCode="#\ ###\ ###\ ##0"/>
    <numFmt numFmtId="177" formatCode="_-* #,##0.00\ &quot;руб.&quot;_-;\-* #,##0.00\ &quot;руб.&quot;_-;_-* &quot;-&quot;??\ &quot;руб.&quot;_-;_-@_-"/>
    <numFmt numFmtId="178" formatCode="_ &quot;\&quot;* #,##0_ ;_ &quot;\&quot;* \-#,##0_ ;_ &quot;\&quot;* &quot;-&quot;_ ;_ @_ "/>
    <numFmt numFmtId="179" formatCode="_-* #,##0.00\ _р_у_б_._-;\-* #,##0.00\ _р_у_б_._-;_-* &quot;-&quot;??\ _р_у_б_._-;_-@_-"/>
    <numFmt numFmtId="180" formatCode="_-* #,##0.00\ [$€-1]_-;\-* #,##0.00\ [$€-1]_-;_-* &quot;-&quot;??\ [$€-1]_-"/>
    <numFmt numFmtId="181" formatCode="#,##0.00;[Red]#,##0.00"/>
    <numFmt numFmtId="182" formatCode="0.000"/>
  </numFmts>
  <fonts count="90">
    <font>
      <sz val="11"/>
      <color indexed="8"/>
      <name val="Calibri"/>
      <charset val="204"/>
    </font>
    <font>
      <sz val="10"/>
      <color indexed="12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25"/>
      <name val="Georgia"/>
      <family val="1"/>
      <charset val="204"/>
    </font>
    <font>
      <sz val="9"/>
      <name val="Georgia"/>
      <family val="1"/>
      <charset val="204"/>
    </font>
    <font>
      <b/>
      <sz val="24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25"/>
      <name val="Georgia"/>
      <family val="1"/>
      <charset val="204"/>
    </font>
    <font>
      <b/>
      <sz val="10"/>
      <name val="Times New Roman"/>
      <family val="1"/>
      <charset val="204"/>
    </font>
    <font>
      <b/>
      <sz val="9"/>
      <name val="Arial"/>
      <family val="2"/>
      <charset val="204"/>
    </font>
    <font>
      <sz val="9"/>
      <color indexed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sz val="10"/>
      <name val="Helv"/>
      <charset val="134"/>
    </font>
    <font>
      <sz val="11"/>
      <color indexed="62"/>
      <name val="Calibri"/>
      <family val="2"/>
      <charset val="204"/>
    </font>
    <font>
      <b/>
      <sz val="1"/>
      <color indexed="16"/>
      <name val="Courier"/>
      <family val="1"/>
      <charset val="204"/>
    </font>
    <font>
      <sz val="10"/>
      <name val="Arial Cyr"/>
      <charset val="204"/>
    </font>
    <font>
      <sz val="12"/>
      <name val="宋体"/>
      <charset val="134"/>
    </font>
    <font>
      <sz val="1"/>
      <color indexed="16"/>
      <name val="Courier"/>
      <family val="1"/>
      <charset val="204"/>
    </font>
    <font>
      <sz val="11"/>
      <color indexed="60"/>
      <name val="Calibri"/>
      <family val="2"/>
      <charset val="204"/>
    </font>
    <font>
      <sz val="12"/>
      <name val="№ЩЕБГј"/>
      <charset val="204"/>
    </font>
    <font>
      <sz val="11"/>
      <color indexed="9"/>
      <name val="Calibri"/>
      <family val="2"/>
      <charset val="204"/>
    </font>
    <font>
      <sz val="11"/>
      <color indexed="9"/>
      <name val="宋体"/>
      <charset val="134"/>
    </font>
    <font>
      <sz val="10"/>
      <name val="Arial CE"/>
      <charset val="238"/>
    </font>
    <font>
      <sz val="11"/>
      <color indexed="63"/>
      <name val="宋体"/>
      <charset val="134"/>
    </font>
    <font>
      <sz val="11"/>
      <name val="µёїт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1"/>
      <color indexed="52"/>
      <name val="宋体"/>
      <charset val="134"/>
    </font>
    <font>
      <sz val="10"/>
      <name val="Book Antiqua"/>
      <family val="1"/>
      <charset val="204"/>
    </font>
    <font>
      <b/>
      <sz val="11"/>
      <color indexed="52"/>
      <name val="宋体"/>
      <charset val="134"/>
    </font>
    <font>
      <sz val="9"/>
      <color indexed="8"/>
      <name val="宋体"/>
      <charset val="134"/>
    </font>
    <font>
      <sz val="11"/>
      <color indexed="8"/>
      <name val="Czcionka tekstu podstawowego"/>
      <charset val="238"/>
    </font>
    <font>
      <b/>
      <sz val="11"/>
      <color indexed="63"/>
      <name val="宋体"/>
      <charset val="134"/>
    </font>
    <font>
      <b/>
      <sz val="15"/>
      <color indexed="62"/>
      <name val="宋体"/>
      <charset val="134"/>
    </font>
    <font>
      <sz val="11"/>
      <color indexed="20"/>
      <name val="Calibri"/>
      <family val="2"/>
      <charset val="204"/>
    </font>
    <font>
      <b/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 Cyr"/>
      <charset val="134"/>
    </font>
    <font>
      <b/>
      <sz val="13"/>
      <color indexed="62"/>
      <name val="宋体"/>
      <charset val="134"/>
    </font>
    <font>
      <b/>
      <sz val="15"/>
      <color indexed="56"/>
      <name val="Calibri"/>
      <family val="2"/>
      <charset val="204"/>
    </font>
    <font>
      <u/>
      <sz val="11"/>
      <color indexed="12"/>
      <name val="Calibri"/>
      <family val="2"/>
      <charset val="204"/>
    </font>
    <font>
      <sz val="9"/>
      <color indexed="63"/>
      <name val="Arial"/>
      <family val="2"/>
      <charset val="204"/>
    </font>
    <font>
      <i/>
      <sz val="11"/>
      <color indexed="23"/>
      <name val="Calibri"/>
      <family val="2"/>
      <charset val="204"/>
    </font>
    <font>
      <sz val="10"/>
      <name val="Helv"/>
      <charset val="204"/>
    </font>
    <font>
      <sz val="8"/>
      <color indexed="8"/>
      <name val="Tahoma"/>
      <family val="2"/>
      <charset val="204"/>
    </font>
    <font>
      <b/>
      <sz val="11"/>
      <color indexed="9"/>
      <name val="宋体"/>
      <charset val="134"/>
    </font>
    <font>
      <u/>
      <sz val="10"/>
      <color indexed="12"/>
      <name val="Arial Cyr"/>
      <charset val="204"/>
    </font>
    <font>
      <b/>
      <sz val="11"/>
      <color indexed="5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2"/>
      <name val="宋体"/>
      <charset val="134"/>
    </font>
    <font>
      <b/>
      <sz val="18"/>
      <color indexed="56"/>
      <name val="Cambria"/>
      <family val="1"/>
      <charset val="204"/>
    </font>
    <font>
      <sz val="12"/>
      <name val="Times New Roman"/>
      <family val="1"/>
      <charset val="204"/>
    </font>
    <font>
      <sz val="10"/>
      <name val="MS Sans Serif"/>
      <family val="2"/>
      <charset val="204"/>
    </font>
    <font>
      <sz val="11"/>
      <color indexed="10"/>
      <name val="Calibri"/>
      <family val="2"/>
      <charset val="204"/>
    </font>
    <font>
      <sz val="11"/>
      <color indexed="60"/>
      <name val="宋体"/>
      <charset val="134"/>
    </font>
    <font>
      <sz val="10"/>
      <color indexed="8"/>
      <name val="Calibri"/>
      <family val="2"/>
      <charset val="204"/>
    </font>
    <font>
      <sz val="11"/>
      <name val="돋움체"/>
      <charset val="129"/>
    </font>
    <font>
      <sz val="10"/>
      <name val="Arial Tur"/>
      <charset val="162"/>
    </font>
    <font>
      <sz val="12"/>
      <name val="新細明體"/>
      <charset val="136"/>
    </font>
    <font>
      <b/>
      <sz val="11"/>
      <color indexed="9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8"/>
      <name val="Calibri"/>
      <family val="2"/>
      <charset val="204"/>
    </font>
    <font>
      <sz val="11"/>
      <color theme="1"/>
      <name val="Times New Roman"/>
      <family val="2"/>
      <charset val="204"/>
    </font>
    <font>
      <b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1"/>
      <color rgb="FF000000"/>
      <name val="Arial"/>
      <family val="2"/>
      <charset val="204"/>
    </font>
    <font>
      <sz val="11"/>
      <color theme="1"/>
      <name val="宋体"/>
      <family val="2"/>
    </font>
    <font>
      <condense/>
      <extend/>
      <outline/>
      <sz val="12"/>
      <color rgb="FF000000"/>
      <name val="Times New Roman"/>
      <family val="3"/>
      <charset val="134"/>
    </font>
    <font>
      <sz val="11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10">
    <xf numFmtId="0" fontId="0" fillId="0" borderId="0">
      <alignment vertical="center"/>
    </xf>
    <xf numFmtId="168" fontId="25" fillId="0" borderId="0">
      <alignment vertical="center"/>
      <protection locked="0"/>
    </xf>
    <xf numFmtId="0" fontId="23" fillId="0" borderId="0">
      <alignment vertical="center"/>
    </xf>
    <xf numFmtId="0" fontId="12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9" fillId="7" borderId="0" applyNumberFormat="0" applyBorder="0" applyAlignment="0" applyProtection="0">
      <alignment vertical="center"/>
    </xf>
    <xf numFmtId="0" fontId="23" fillId="0" borderId="0">
      <alignment vertical="center"/>
    </xf>
    <xf numFmtId="170" fontId="3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6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12" fillId="0" borderId="0">
      <alignment vertical="center"/>
    </xf>
    <xf numFmtId="0" fontId="38" fillId="0" borderId="18" applyNumberFormat="0" applyFill="0" applyAlignment="0" applyProtection="0">
      <alignment vertical="center"/>
    </xf>
    <xf numFmtId="0" fontId="27" fillId="0" borderId="0">
      <alignment vertical="center"/>
    </xf>
    <xf numFmtId="165" fontId="12" fillId="0" borderId="0" applyFont="0" applyFill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2" fontId="4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2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6" fillId="0" borderId="17">
      <alignment horizontal="left" vertical="center"/>
    </xf>
    <xf numFmtId="0" fontId="23" fillId="0" borderId="0">
      <alignment vertical="center"/>
    </xf>
    <xf numFmtId="0" fontId="3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166" fontId="49" fillId="0" borderId="0" applyFont="0" applyFill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51" fillId="0" borderId="23" applyNumberFormat="0" applyFill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9" fillId="0" borderId="0">
      <alignment vertical="center"/>
    </xf>
    <xf numFmtId="176" fontId="53" fillId="2" borderId="4">
      <alignment horizontal="right" vertical="top" wrapText="1"/>
    </xf>
    <xf numFmtId="0" fontId="34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79" fillId="1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12" fillId="0" borderId="0">
      <alignment vertical="center"/>
    </xf>
    <xf numFmtId="0" fontId="5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49" fillId="0" borderId="0">
      <alignment vertical="center"/>
    </xf>
    <xf numFmtId="0" fontId="56" fillId="15" borderId="4">
      <alignment horizontal="left" vertical="top" wrapText="1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9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9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9" fillId="12" borderId="13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0" fillId="0" borderId="22" applyNumberFormat="0" applyFill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6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55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9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1" fontId="3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23" fillId="0" borderId="0">
      <alignment vertical="center"/>
    </xf>
    <xf numFmtId="0" fontId="37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179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9" fillId="0" borderId="0">
      <alignment vertical="center"/>
    </xf>
    <xf numFmtId="0" fontId="12" fillId="0" borderId="0">
      <alignment vertical="center"/>
    </xf>
    <xf numFmtId="0" fontId="61" fillId="12" borderId="19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2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0" fillId="2" borderId="13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7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21" borderId="0" applyNumberFormat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9" fillId="0" borderId="0">
      <alignment vertical="center"/>
    </xf>
    <xf numFmtId="0" fontId="23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63" fillId="3" borderId="13" applyNumberFormat="0" applyAlignment="0" applyProtection="0">
      <alignment vertical="center"/>
    </xf>
    <xf numFmtId="0" fontId="23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9" fillId="15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3" fillId="2" borderId="19" applyNumberForma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4" fillId="3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66" fillId="0" borderId="0">
      <alignment vertical="center"/>
    </xf>
    <xf numFmtId="0" fontId="79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7" fillId="0" borderId="0">
      <alignment vertical="center"/>
    </xf>
    <xf numFmtId="169" fontId="12" fillId="0" borderId="0" applyFont="0" applyFill="0" applyBorder="0" applyAlignment="0" applyProtection="0">
      <alignment vertical="center"/>
    </xf>
    <xf numFmtId="168" fontId="28" fillId="0" borderId="0">
      <alignment vertical="center"/>
      <protection locked="0"/>
    </xf>
    <xf numFmtId="16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68" fontId="28" fillId="0" borderId="0">
      <alignment vertical="center"/>
      <protection locked="0"/>
    </xf>
    <xf numFmtId="0" fontId="31" fillId="24" borderId="0" applyNumberFormat="0" applyBorder="0" applyAlignment="0" applyProtection="0">
      <alignment vertical="center"/>
    </xf>
    <xf numFmtId="168" fontId="28" fillId="0" borderId="0">
      <alignment vertical="center"/>
      <protection locked="0"/>
    </xf>
    <xf numFmtId="180" fontId="1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7" fillId="0" borderId="0">
      <alignment vertical="center"/>
    </xf>
    <xf numFmtId="0" fontId="26" fillId="0" borderId="0">
      <alignment vertical="center"/>
    </xf>
    <xf numFmtId="168" fontId="28" fillId="0" borderId="0">
      <alignment vertical="center"/>
      <protection locked="0"/>
    </xf>
    <xf numFmtId="0" fontId="36" fillId="0" borderId="26" applyNumberFormat="0" applyAlignment="0" applyProtection="0">
      <alignment horizontal="left" vertical="center"/>
    </xf>
    <xf numFmtId="0" fontId="36" fillId="0" borderId="17">
      <alignment horizontal="left" vertical="center"/>
    </xf>
    <xf numFmtId="0" fontId="36" fillId="0" borderId="17">
      <alignment horizontal="left" vertical="center"/>
    </xf>
    <xf numFmtId="168" fontId="25" fillId="0" borderId="0">
      <alignment vertical="center"/>
      <protection locked="0"/>
    </xf>
    <xf numFmtId="0" fontId="15" fillId="0" borderId="0">
      <alignment vertical="center"/>
    </xf>
    <xf numFmtId="0" fontId="23" fillId="0" borderId="0">
      <alignment vertical="center"/>
    </xf>
    <xf numFmtId="0" fontId="22" fillId="0" borderId="14" applyNumberFormat="0" applyFill="0" applyAlignment="0" applyProtection="0">
      <alignment vertical="center"/>
    </xf>
    <xf numFmtId="0" fontId="15" fillId="6" borderId="15" applyProtection="0">
      <alignment horizontal="right" vertical="center"/>
    </xf>
    <xf numFmtId="0" fontId="12" fillId="0" borderId="0">
      <alignment vertical="center"/>
    </xf>
    <xf numFmtId="0" fontId="56" fillId="15" borderId="4">
      <alignment horizontal="left" vertical="top" wrapText="1"/>
    </xf>
    <xf numFmtId="0" fontId="68" fillId="4" borderId="0" applyNumberFormat="0" applyBorder="0" applyAlignment="0" applyProtection="0">
      <alignment vertical="center"/>
    </xf>
    <xf numFmtId="176" fontId="53" fillId="2" borderId="4">
      <alignment horizontal="right" vertical="top" wrapText="1"/>
    </xf>
    <xf numFmtId="168" fontId="28" fillId="0" borderId="27">
      <alignment vertical="center"/>
      <protection locked="0"/>
    </xf>
    <xf numFmtId="0" fontId="1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166" fontId="49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64" fontId="79" fillId="0" borderId="0" applyFont="0" applyFill="0" applyBorder="0" applyAlignment="0" applyProtection="0">
      <alignment vertical="center"/>
    </xf>
    <xf numFmtId="164" fontId="26" fillId="0" borderId="0" applyFont="0" applyFill="0" applyBorder="0" applyAlignment="0" applyProtection="0">
      <alignment vertical="center"/>
    </xf>
    <xf numFmtId="164" fontId="79" fillId="0" borderId="0" applyFont="0" applyFill="0" applyBorder="0" applyAlignment="0" applyProtection="0">
      <alignment vertical="center"/>
    </xf>
    <xf numFmtId="178" fontId="30" fillId="0" borderId="0" applyFont="0" applyFill="0" applyBorder="0" applyAlignment="0" applyProtection="0">
      <alignment vertical="center"/>
    </xf>
    <xf numFmtId="174" fontId="3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71" fillId="0" borderId="0">
      <alignment vertical="center"/>
    </xf>
    <xf numFmtId="0" fontId="37" fillId="0" borderId="0">
      <alignment vertical="center"/>
    </xf>
    <xf numFmtId="0" fontId="26" fillId="0" borderId="0">
      <alignment vertical="top"/>
    </xf>
    <xf numFmtId="0" fontId="69" fillId="0" borderId="0">
      <alignment vertical="center"/>
    </xf>
    <xf numFmtId="0" fontId="12" fillId="0" borderId="0">
      <alignment vertical="center"/>
    </xf>
    <xf numFmtId="0" fontId="26" fillId="0" borderId="0">
      <alignment vertical="center"/>
    </xf>
    <xf numFmtId="0" fontId="37" fillId="0" borderId="0">
      <alignment vertical="center"/>
    </xf>
    <xf numFmtId="0" fontId="32" fillId="25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37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72" fillId="0" borderId="0">
      <alignment vertical="center"/>
    </xf>
    <xf numFmtId="0" fontId="73" fillId="19" borderId="25" applyNumberFormat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1" fillId="12" borderId="19" applyNumberFormat="0" applyAlignment="0" applyProtection="0">
      <alignment vertical="center"/>
    </xf>
    <xf numFmtId="0" fontId="59" fillId="12" borderId="13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2" fillId="8" borderId="16" applyNumberFormat="0" applyFont="0" applyAlignment="0" applyProtection="0">
      <alignment vertical="center"/>
    </xf>
    <xf numFmtId="0" fontId="12" fillId="8" borderId="16" applyNumberFormat="0" applyFont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70" fillId="0" borderId="0">
      <alignment vertical="center"/>
    </xf>
    <xf numFmtId="0" fontId="48" fillId="17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7" fillId="8" borderId="16" applyNumberFormat="0" applyFon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7" fillId="19" borderId="25" applyNumberFormat="0" applyAlignment="0" applyProtection="0">
      <alignment vertical="center"/>
    </xf>
    <xf numFmtId="0" fontId="27" fillId="8" borderId="16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0" fillId="2" borderId="13" applyNumberFormat="0" applyAlignment="0" applyProtection="0">
      <alignment vertical="center"/>
    </xf>
    <xf numFmtId="0" fontId="63" fillId="3" borderId="13" applyNumberFormat="0" applyAlignment="0" applyProtection="0">
      <alignment vertical="center"/>
    </xf>
    <xf numFmtId="0" fontId="43" fillId="2" borderId="19" applyNumberFormat="0" applyAlignment="0" applyProtection="0">
      <alignment vertical="center"/>
    </xf>
    <xf numFmtId="0" fontId="80" fillId="0" borderId="0"/>
    <xf numFmtId="0" fontId="85" fillId="0" borderId="0"/>
  </cellStyleXfs>
  <cellXfs count="168">
    <xf numFmtId="0" fontId="0" fillId="0" borderId="0" xfId="0" applyAlignment="1"/>
    <xf numFmtId="0" fontId="1" fillId="2" borderId="0" xfId="346" applyFont="1" applyFill="1" applyAlignment="1"/>
    <xf numFmtId="0" fontId="2" fillId="2" borderId="0" xfId="346" applyFont="1" applyFill="1" applyAlignment="1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2" fontId="4" fillId="0" borderId="0" xfId="0" applyNumberFormat="1" applyFont="1" applyFill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49" fontId="2" fillId="0" borderId="0" xfId="346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 shrinkToFit="1"/>
    </xf>
    <xf numFmtId="0" fontId="9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2" fillId="2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4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Alignment="1">
      <alignment horizontal="justify"/>
    </xf>
    <xf numFmtId="0" fontId="15" fillId="0" borderId="0" xfId="0" applyFont="1" applyAlignment="1">
      <alignment horizontal="right"/>
    </xf>
    <xf numFmtId="2" fontId="1" fillId="2" borderId="0" xfId="346" applyNumberFormat="1" applyFont="1" applyFill="1" applyAlignment="1"/>
    <xf numFmtId="2" fontId="2" fillId="2" borderId="0" xfId="346" applyNumberFormat="1" applyFont="1" applyFill="1" applyAlignment="1"/>
    <xf numFmtId="0" fontId="2" fillId="0" borderId="0" xfId="346" applyNumberFormat="1" applyFont="1" applyFill="1" applyBorder="1" applyAlignment="1">
      <alignment horizontal="left"/>
    </xf>
    <xf numFmtId="0" fontId="17" fillId="0" borderId="0" xfId="346" applyNumberFormat="1" applyFont="1" applyFill="1" applyBorder="1" applyAlignment="1">
      <alignment horizontal="right"/>
    </xf>
    <xf numFmtId="49" fontId="4" fillId="0" borderId="4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4" fontId="17" fillId="0" borderId="0" xfId="346" applyNumberFormat="1" applyFont="1" applyFill="1" applyBorder="1" applyAlignment="1">
      <alignment horizontal="right"/>
    </xf>
    <xf numFmtId="14" fontId="4" fillId="0" borderId="4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8" fillId="0" borderId="0" xfId="277" applyFont="1" applyFill="1" applyBorder="1" applyAlignment="1"/>
    <xf numFmtId="0" fontId="4" fillId="0" borderId="8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9" xfId="0" applyNumberFormat="1" applyFont="1" applyFill="1" applyBorder="1" applyAlignment="1">
      <alignment horizontal="center" vertical="center"/>
    </xf>
    <xf numFmtId="2" fontId="8" fillId="0" borderId="4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 wrapText="1"/>
    </xf>
    <xf numFmtId="1" fontId="2" fillId="0" borderId="4" xfId="144" applyNumberFormat="1" applyFont="1" applyFill="1" applyBorder="1" applyAlignment="1">
      <alignment horizontal="center" vertical="center"/>
    </xf>
    <xf numFmtId="4" fontId="2" fillId="0" borderId="4" xfId="242" applyNumberFormat="1" applyFont="1" applyFill="1" applyBorder="1" applyAlignment="1">
      <alignment horizontal="center" vertical="center" wrapText="1"/>
    </xf>
    <xf numFmtId="4" fontId="2" fillId="0" borderId="4" xfId="357" applyNumberFormat="1" applyFont="1" applyFill="1" applyBorder="1" applyAlignment="1">
      <alignment horizontal="center" vertical="center"/>
    </xf>
    <xf numFmtId="175" fontId="9" fillId="0" borderId="4" xfId="144" applyNumberFormat="1" applyFont="1" applyFill="1" applyBorder="1" applyAlignment="1">
      <alignment horizontal="center" vertical="center"/>
    </xf>
    <xf numFmtId="4" fontId="2" fillId="0" borderId="4" xfId="356" applyNumberFormat="1" applyFont="1" applyFill="1" applyBorder="1" applyAlignment="1">
      <alignment horizontal="center" vertical="center" wrapText="1"/>
    </xf>
    <xf numFmtId="181" fontId="2" fillId="0" borderId="0" xfId="356" applyNumberFormat="1" applyFont="1" applyFill="1" applyBorder="1" applyAlignment="1">
      <alignment horizontal="center" vertical="center" wrapText="1"/>
    </xf>
    <xf numFmtId="3" fontId="13" fillId="0" borderId="4" xfId="0" applyNumberFormat="1" applyFont="1" applyFill="1" applyBorder="1" applyAlignment="1">
      <alignment horizontal="center" vertical="center" wrapText="1"/>
    </xf>
    <xf numFmtId="4" fontId="13" fillId="0" borderId="4" xfId="0" applyNumberFormat="1" applyFont="1" applyFill="1" applyBorder="1" applyAlignment="1">
      <alignment horizontal="center" vertical="center" wrapText="1"/>
    </xf>
    <xf numFmtId="4" fontId="13" fillId="0" borderId="4" xfId="0" applyNumberFormat="1" applyFont="1" applyFill="1" applyBorder="1" applyAlignment="1">
      <alignment horizontal="right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181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21" fillId="0" borderId="0" xfId="337" applyFont="1" applyFill="1" applyAlignment="1" applyProtection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4" fontId="4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 shrinkToFit="1"/>
    </xf>
    <xf numFmtId="2" fontId="4" fillId="0" borderId="0" xfId="0" applyNumberFormat="1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17" fillId="0" borderId="4" xfId="0" applyFont="1" applyFill="1" applyBorder="1" applyAlignment="1">
      <alignment horizontal="center" vertical="center" wrapText="1"/>
    </xf>
    <xf numFmtId="2" fontId="8" fillId="0" borderId="10" xfId="0" applyNumberFormat="1" applyFont="1" applyFill="1" applyBorder="1" applyAlignment="1">
      <alignment horizontal="center" vertical="center" wrapText="1"/>
    </xf>
    <xf numFmtId="0" fontId="81" fillId="0" borderId="0" xfId="346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82" fillId="0" borderId="0" xfId="0" applyFont="1" applyFill="1" applyBorder="1" applyAlignment="1">
      <alignment horizontal="center" vertical="center" wrapText="1"/>
    </xf>
    <xf numFmtId="173" fontId="2" fillId="0" borderId="4" xfId="66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172" fontId="2" fillId="0" borderId="4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0" fontId="17" fillId="0" borderId="0" xfId="0" applyFont="1" applyFill="1" applyBorder="1" applyAlignment="1"/>
    <xf numFmtId="0" fontId="2" fillId="0" borderId="0" xfId="408" applyFont="1" applyFill="1" applyBorder="1" applyAlignment="1">
      <alignment horizontal="left"/>
    </xf>
    <xf numFmtId="0" fontId="84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 wrapText="1"/>
    </xf>
    <xf numFmtId="0" fontId="17" fillId="0" borderId="2" xfId="346" applyNumberFormat="1" applyFont="1" applyFill="1" applyBorder="1" applyAlignment="1">
      <alignment horizontal="right"/>
    </xf>
    <xf numFmtId="14" fontId="17" fillId="0" borderId="2" xfId="346" applyNumberFormat="1" applyFont="1" applyFill="1" applyBorder="1" applyAlignment="1">
      <alignment horizontal="right"/>
    </xf>
    <xf numFmtId="0" fontId="9" fillId="0" borderId="8" xfId="0" applyFont="1" applyFill="1" applyBorder="1" applyAlignment="1"/>
    <xf numFmtId="0" fontId="8" fillId="0" borderId="3" xfId="0" applyFont="1" applyFill="1" applyBorder="1" applyAlignment="1"/>
    <xf numFmtId="0" fontId="9" fillId="0" borderId="3" xfId="0" applyFont="1" applyFill="1" applyBorder="1" applyAlignment="1"/>
    <xf numFmtId="0" fontId="8" fillId="0" borderId="8" xfId="0" applyFont="1" applyFill="1" applyBorder="1" applyAlignment="1">
      <alignment vertical="center" wrapText="1"/>
    </xf>
    <xf numFmtId="0" fontId="17" fillId="0" borderId="3" xfId="321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top" wrapText="1"/>
    </xf>
    <xf numFmtId="0" fontId="17" fillId="0" borderId="32" xfId="346" applyNumberFormat="1" applyFont="1" applyFill="1" applyBorder="1" applyAlignment="1">
      <alignment horizontal="right"/>
    </xf>
    <xf numFmtId="4" fontId="17" fillId="0" borderId="30" xfId="0" applyNumberFormat="1" applyFont="1" applyFill="1" applyBorder="1" applyAlignment="1">
      <alignment horizontal="center" vertical="center" wrapText="1"/>
    </xf>
    <xf numFmtId="1" fontId="2" fillId="0" borderId="11" xfId="0" applyNumberFormat="1" applyFont="1" applyFill="1" applyBorder="1" applyAlignment="1">
      <alignment horizontal="center" vertical="center" wrapText="1"/>
    </xf>
    <xf numFmtId="0" fontId="87" fillId="0" borderId="0" xfId="0" applyFont="1" applyFill="1" applyAlignment="1"/>
    <xf numFmtId="0" fontId="88" fillId="0" borderId="4" xfId="0" applyFont="1" applyFill="1" applyBorder="1" applyAlignment="1">
      <alignment horizontal="center" vertical="center" wrapText="1"/>
    </xf>
    <xf numFmtId="0" fontId="89" fillId="0" borderId="0" xfId="0" applyFont="1">
      <alignment vertical="center"/>
    </xf>
    <xf numFmtId="2" fontId="8" fillId="0" borderId="30" xfId="0" applyNumberFormat="1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182" fontId="2" fillId="0" borderId="11" xfId="66" applyNumberFormat="1" applyFont="1" applyFill="1" applyBorder="1" applyAlignment="1">
      <alignment horizontal="center" vertical="center" wrapText="1"/>
    </xf>
    <xf numFmtId="0" fontId="86" fillId="0" borderId="0" xfId="409" applyFont="1" applyBorder="1" applyAlignment="1">
      <alignment horizontal="left"/>
    </xf>
    <xf numFmtId="0" fontId="83" fillId="0" borderId="12" xfId="346" applyFont="1" applyFill="1" applyBorder="1" applyAlignment="1">
      <alignment horizontal="center" vertical="center"/>
    </xf>
    <xf numFmtId="0" fontId="83" fillId="0" borderId="17" xfId="346" applyFont="1" applyFill="1" applyBorder="1" applyAlignment="1">
      <alignment horizontal="center" vertical="center"/>
    </xf>
    <xf numFmtId="0" fontId="83" fillId="0" borderId="31" xfId="346" applyFont="1" applyFill="1" applyBorder="1" applyAlignment="1">
      <alignment horizontal="center" vertical="center"/>
    </xf>
    <xf numFmtId="0" fontId="83" fillId="0" borderId="29" xfId="346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14" fontId="17" fillId="0" borderId="12" xfId="0" applyNumberFormat="1" applyFont="1" applyFill="1" applyBorder="1" applyAlignment="1">
      <alignment horizontal="center"/>
    </xf>
    <xf numFmtId="0" fontId="17" fillId="0" borderId="29" xfId="0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49" fontId="17" fillId="0" borderId="4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center" vertical="center" wrapText="1"/>
    </xf>
    <xf numFmtId="0" fontId="5" fillId="0" borderId="1" xfId="346" applyFont="1" applyFill="1" applyBorder="1" applyAlignment="1">
      <alignment horizontal="center"/>
    </xf>
    <xf numFmtId="0" fontId="5" fillId="0" borderId="2" xfId="346" applyFont="1" applyFill="1" applyBorder="1" applyAlignment="1">
      <alignment horizontal="center"/>
    </xf>
    <xf numFmtId="0" fontId="16" fillId="0" borderId="2" xfId="0" applyFont="1" applyFill="1" applyBorder="1" applyAlignment="1"/>
    <xf numFmtId="0" fontId="16" fillId="0" borderId="7" xfId="0" applyFont="1" applyFill="1" applyBorder="1" applyAlignment="1"/>
    <xf numFmtId="0" fontId="6" fillId="0" borderId="3" xfId="346" applyFont="1" applyFill="1" applyBorder="1" applyAlignment="1">
      <alignment horizontal="center"/>
    </xf>
    <xf numFmtId="0" fontId="6" fillId="0" borderId="0" xfId="346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8" xfId="0" applyFont="1" applyFill="1" applyBorder="1" applyAlignment="1"/>
    <xf numFmtId="0" fontId="7" fillId="0" borderId="3" xfId="346" applyFont="1" applyFill="1" applyBorder="1" applyAlignment="1">
      <alignment horizontal="right" vertical="center"/>
    </xf>
    <xf numFmtId="0" fontId="7" fillId="0" borderId="0" xfId="346" applyFont="1" applyFill="1" applyBorder="1" applyAlignment="1">
      <alignment horizontal="right" vertical="center"/>
    </xf>
    <xf numFmtId="0" fontId="7" fillId="0" borderId="8" xfId="346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10">
    <cellStyle name="_(CMR)-dom" xfId="8"/>
    <cellStyle name="_(CMR)-kont2" xfId="2"/>
    <cellStyle name="__1_ЭРВИД_бланк-v2" xfId="15"/>
    <cellStyle name="__ИНТЕРА_Инвойс" xfId="17"/>
    <cellStyle name="__Лагрос_Инвойс" xfId="18"/>
    <cellStyle name="__Лагрос_Инвойс 2" xfId="20"/>
    <cellStyle name="__Лагрос_Инвойс 2 2" xfId="22"/>
    <cellStyle name="__Расчет" xfId="30"/>
    <cellStyle name="_++06-11-03 T- I- M-1057 W-19099 A-855  LAVER 643-021-2001 ЦАТ" xfId="38"/>
    <cellStyle name="_++06-11-03 T- I- M-1057 W-19099 A-855  LAVER 643-021-2001 ЦАТ 2" xfId="39"/>
    <cellStyle name="_++06-11-03 T- I- M-1057 W-19099 A-855  LAVER 643-021-2001 ЦАТ__бланк расчета" xfId="40"/>
    <cellStyle name="_++06-11-03 T- I- M-1057 W-19099 A-855  LAVER 643-021-2001 ЦАТ__бланк расчета 2" xfId="3"/>
    <cellStyle name="_++06-11-03 T- I- M-1057 W-19099 A-855  LAVER 643-021-2001 ЦАТ__Расчет" xfId="44"/>
    <cellStyle name="_++06-11-03 T- I- M-1057 W-19099 A-855  LAVER 643-021-2001 ЦАТ__Расчет_1" xfId="45"/>
    <cellStyle name="_++06-11-03 T- I- M-1057 W-19099 A-855  LAVER 643-021-2001 ЦАТ_1" xfId="14"/>
    <cellStyle name="_++06-11-03 T- I- M-1057 W-19099 A-855  LAVER 643-021-2001 ЦАТ_11-27-336-Sergey-zajavka-28 (2)" xfId="48"/>
    <cellStyle name="_+02122003_092_inv_tdi_isx" xfId="51"/>
    <cellStyle name="_+14012004_094_inv_tdi_isx" xfId="28"/>
    <cellStyle name="_+17062002_536_inv_comf_stef" xfId="52"/>
    <cellStyle name="_+25022004_652_inv_tdi_isx" xfId="53"/>
    <cellStyle name="_+28112003_006_inv_tdi_isx" xfId="54"/>
    <cellStyle name="_+31032004_093_inv_tdi_icx" xfId="27"/>
    <cellStyle name="_+BY943_25.06" xfId="36"/>
    <cellStyle name="_+CE5270-9695CA" xfId="56"/>
    <cellStyle name="_+inv_383_isx" xfId="19"/>
    <cellStyle name="_+inv_387_isx" xfId="58"/>
    <cellStyle name="_+inv_393_isx" xfId="60"/>
    <cellStyle name="_+inv_400_isx" xfId="63"/>
    <cellStyle name="_+Копия 27112003_127_inv_tdi_isx" xfId="61"/>
    <cellStyle name="_+предвар_EZZ554_04.02.04" xfId="64"/>
    <cellStyle name="_+Предвар_JEZ902_09.02" xfId="65"/>
    <cellStyle name="_+Предвар_JEZ903_10.11" xfId="68"/>
    <cellStyle name="_+Предвар_JEZ903_10.11final" xfId="69"/>
    <cellStyle name="_+Предвар_RBY943_11.08" xfId="73"/>
    <cellStyle name="_+Предвар_YCS-983_11.03.04" xfId="76"/>
    <cellStyle name="_01-08-010-K422- term(1)" xfId="78"/>
    <cellStyle name="_01-08-011-K421- term(1)" xfId="82"/>
    <cellStyle name="_01-11-014-B297-_term(1)" xfId="83"/>
    <cellStyle name="_01-11-015-K425- term2" xfId="88"/>
    <cellStyle name="_02-05-029-B297-term(1)" xfId="43"/>
    <cellStyle name="_02-08-030-K421-term(1)" xfId="67"/>
    <cellStyle name="_02-12-032-B297-term(1)" xfId="12"/>
    <cellStyle name="_02-12-032-B297-term2(1)" xfId="11"/>
    <cellStyle name="_02-15-034-K421-term(1)" xfId="89"/>
    <cellStyle name="_02-15-034-K425-term(1)" xfId="90"/>
    <cellStyle name="_02-19-035-B297-term2" xfId="92"/>
    <cellStyle name="_02-2-027-K422-term(1)" xfId="23"/>
    <cellStyle name="_02-2-028-K425-term(1)" xfId="93"/>
    <cellStyle name="_02-22-036-term(1)" xfId="77"/>
    <cellStyle name="_02-22-039-term" xfId="94"/>
    <cellStyle name="_02-22-040-term(1)" xfId="95"/>
    <cellStyle name="_02-28-046-B809-term(1)" xfId="98"/>
    <cellStyle name="_02-28-046-term(1)" xfId="80"/>
    <cellStyle name="_02-28-047-K421-term(1)" xfId="100"/>
    <cellStyle name="_03_09Custom2" xfId="70"/>
    <cellStyle name="_03-06-052-term(1)" xfId="86"/>
    <cellStyle name="_03-06-052-term2(1)" xfId="96"/>
    <cellStyle name="_03-06-053-term(1)" xfId="21"/>
    <cellStyle name="_03-06-055-term(1)" xfId="41"/>
    <cellStyle name="_03-06-056-K422-term(1)" xfId="101"/>
    <cellStyle name="_03-12-058-B810-term(1)" xfId="103"/>
    <cellStyle name="_03-15-061-B297-exam2(1)" xfId="104"/>
    <cellStyle name="_03-15-061-B297-term(1)" xfId="106"/>
    <cellStyle name="_03-15-062-K425-term(1)" xfId="109"/>
    <cellStyle name="_03-15-064-K421-term(1)" xfId="111"/>
    <cellStyle name="_03-22-068-B297-term(1)" xfId="112"/>
    <cellStyle name="_03-22-070-K425-term(1)" xfId="116"/>
    <cellStyle name="_04-26-100-term2(1)" xfId="117"/>
    <cellStyle name="_04-26-102-term(1)" xfId="118"/>
    <cellStyle name="_05 10 ткани АМИГ" xfId="121"/>
    <cellStyle name="_05-04-105-term(1)" xfId="122"/>
    <cellStyle name="_060404-04_03Custom-1" xfId="125"/>
    <cellStyle name="_061211-12-11-244-B297-term(1)" xfId="129"/>
    <cellStyle name="_061220--12-21-257-K421-term" xfId="130"/>
    <cellStyle name="_061221----12-21-258-term" xfId="131"/>
    <cellStyle name="_070111-proekt_778-1" xfId="132"/>
    <cellStyle name="_070202-album13" xfId="16"/>
    <cellStyle name="_07-02-151-term(1)" xfId="128"/>
    <cellStyle name="_08 12 Сантехника 3 кон-ра" xfId="134"/>
    <cellStyle name="_093" xfId="137"/>
    <cellStyle name="_095" xfId="6"/>
    <cellStyle name="_097" xfId="139"/>
    <cellStyle name="_11-15-210-K425-misha(1)" xfId="141"/>
    <cellStyle name="_11-20-214-K421-misha(1)" xfId="142"/>
    <cellStyle name="_11-20-214-K421-misha-new(1)" xfId="143"/>
    <cellStyle name="_11-27-336-Sergey-zajavka-28 (2)" xfId="145"/>
    <cellStyle name="_11-39-228-K422-term(1)" xfId="146"/>
    <cellStyle name="_12-07-242-K425-term(1)" xfId="148"/>
    <cellStyle name="_12-07-243-K422-term(1)" xfId="150"/>
    <cellStyle name="_12-11-251-K796-term(1)+" xfId="153"/>
    <cellStyle name="_12-18-254-K425-term(1)" xfId="156"/>
    <cellStyle name="_12-21-257-K421-term2(1)" xfId="157"/>
    <cellStyle name="_14-10-02 T- I-034-N-02-101402 M-1356 W-16000" xfId="158"/>
    <cellStyle name="_14-10-02 T- I-034-N-02-101402 M-1356 W-16000 2" xfId="159"/>
    <cellStyle name="_14-10-02 T- I-034-N-02-101402 M-1356 W-16000__бланк расчета" xfId="161"/>
    <cellStyle name="_14-10-02 T- I-034-N-02-101402 M-1356 W-16000__бланк расчета 2" xfId="127"/>
    <cellStyle name="_14-10-02 T- I-034-N-02-101402 M-1356 W-16000__Расчет" xfId="35"/>
    <cellStyle name="_14-10-02 T- I-034-N-02-101402 M-1356 W-16000__Расчет_1" xfId="162"/>
    <cellStyle name="_14-10-02 T- I-034-N-02-101402 M-1356 W-16000_1" xfId="164"/>
    <cellStyle name="_14-10-02 T- I-034-N-02-101402 M-1356 W-16000_11-27-336-Sergey-zajavka-28 (2)" xfId="165"/>
    <cellStyle name="_19,071" xfId="170"/>
    <cellStyle name="_338.карго    Спецификация" xfId="85"/>
    <cellStyle name="_38  week на подготовку (2)" xfId="72"/>
    <cellStyle name="_38 нед имак взросл" xfId="172"/>
    <cellStyle name="_43 week на подготовку" xfId="174"/>
    <cellStyle name="_496" xfId="176"/>
    <cellStyle name="_784-220104табл+" xfId="178"/>
    <cellStyle name="_CARGO" xfId="71"/>
    <cellStyle name="_CMR tools" xfId="81"/>
    <cellStyle name="_doc" xfId="179"/>
    <cellStyle name="_doc 088" xfId="182"/>
    <cellStyle name="_doc_1" xfId="10"/>
    <cellStyle name="_docs запчасти" xfId="59"/>
    <cellStyle name="_docs запчасти 2" xfId="184"/>
    <cellStyle name="_docs запчасти__бланк расчета" xfId="185"/>
    <cellStyle name="_docs запчасти__бланк расчета 2" xfId="186"/>
    <cellStyle name="_docs запчасти__Расчет" xfId="187"/>
    <cellStyle name="_docs запчасти__Расчет_1" xfId="189"/>
    <cellStyle name="_docs запчасти_1" xfId="190"/>
    <cellStyle name="_docs запчасти_11-27-336-Sergey-zajavka-28 (2)" xfId="191"/>
    <cellStyle name="_Documents tools 28,10" xfId="192"/>
    <cellStyle name="_Documents tools 28,10-29" xfId="193"/>
    <cellStyle name="_Domod.8 658" xfId="195"/>
    <cellStyle name="_ET_STYLE_NoName_00_" xfId="197"/>
    <cellStyle name="_FESU5128615  2010-5-11俄方装箱明细" xfId="198"/>
    <cellStyle name="_INV_030-1_ispr" xfId="147"/>
    <cellStyle name="_inv_171_isx" xfId="200"/>
    <cellStyle name="_INV_373_ispr" xfId="201"/>
    <cellStyle name="_INV_449-1_ispr" xfId="202"/>
    <cellStyle name="_INV_COMF_Byk_3101_1i" xfId="204"/>
    <cellStyle name="_invoi1ces" xfId="205"/>
    <cellStyle name="_-invoices" xfId="206"/>
    <cellStyle name="_Invoices0" xfId="207"/>
    <cellStyle name="_invoices1" xfId="84"/>
    <cellStyle name="_manifest" xfId="208"/>
    <cellStyle name="_new 25-11-03 T- I- M- W- A- LAVER 643-021-2001 ЦАТ" xfId="26"/>
    <cellStyle name="_new 25-11-03 T- I- M- W- A- LAVER 643-021-2001 ЦАТ 2" xfId="102"/>
    <cellStyle name="_new 25-11-03 T- I- M- W- A- LAVER 643-021-2001 ЦАТ__бланк расчета" xfId="209"/>
    <cellStyle name="_new 25-11-03 T- I- M- W- A- LAVER 643-021-2001 ЦАТ__бланк расчета 2" xfId="210"/>
    <cellStyle name="_new 25-11-03 T- I- M- W- A- LAVER 643-021-2001 ЦАТ__Расчет" xfId="211"/>
    <cellStyle name="_new 25-11-03 T- I- M- W- A- LAVER 643-021-2001 ЦАТ__Расчет_1" xfId="203"/>
    <cellStyle name="_new 25-11-03 T- I- M- W- A- LAVER 643-021-2001 ЦАТ_1" xfId="213"/>
    <cellStyle name="_new 25-11-03 T- I- M- W- A- LAVER 643-021-2001 ЦАТ_11-27-336-Sergey-zajavka-28 (2)" xfId="215"/>
    <cellStyle name="_new invoice" xfId="216"/>
    <cellStyle name="_packing" xfId="218"/>
    <cellStyle name="_T-6974 КОМПЫ" xfId="219"/>
    <cellStyle name="_tab" xfId="222"/>
    <cellStyle name="_tab 2" xfId="223"/>
    <cellStyle name="_tab__бланк расчета" xfId="224"/>
    <cellStyle name="_tab__бланк расчета 2" xfId="225"/>
    <cellStyle name="_tab__Расчет" xfId="228"/>
    <cellStyle name="_tab__Расчет_1" xfId="230"/>
    <cellStyle name="_tab_1" xfId="231"/>
    <cellStyle name="_tab_11-27-336-Sergey-zajavka-28 (2)" xfId="169"/>
    <cellStyle name="_TORF - C459PX - IN ROAD" xfId="79"/>
    <cellStyle name="_TORF - C944CB - IN ROAD" xfId="233"/>
    <cellStyle name="_truck 784 codes-23" xfId="149"/>
    <cellStyle name="_truck 784 codes-23 2" xfId="234"/>
    <cellStyle name="_truck 784 codes-23__бланк расчета" xfId="235"/>
    <cellStyle name="_truck 784 codes-23__бланк расчета 2" xfId="236"/>
    <cellStyle name="_truck 784 codes-23__Расчет" xfId="237"/>
    <cellStyle name="_truck 784 codes-23__Расчет_1" xfId="133"/>
    <cellStyle name="_truck 784 codes-23_1" xfId="238"/>
    <cellStyle name="_truck 784 codes-23_11-27-336-Sergey-zajavka-28 (2)" xfId="241"/>
    <cellStyle name="_АВТОЗАПЧАСТИ 2" xfId="243"/>
    <cellStyle name="_Автозапчасти-БОГДАНОВ 1534" xfId="245"/>
    <cellStyle name="_Германия 8828" xfId="246"/>
    <cellStyle name="_Германия-АВТО БОГДАНОВ 25.09.02.(411)" xfId="248"/>
    <cellStyle name="_Германия-АВТОЗАПЧАСТИ 26.07.02.(2152)" xfId="87"/>
    <cellStyle name="_Детская обувь 38 нед" xfId="250"/>
    <cellStyle name="_Загрузка 2 100 кл-08-серт1410-1168 100кл" xfId="251"/>
    <cellStyle name="_Загрузка 3 100 кл-16 1610-1171 100кл" xfId="252"/>
    <cellStyle name="_заявка запчасти 28-08-02 от Тети" xfId="253"/>
    <cellStyle name="_ИМАК пакинг" xfId="254"/>
    <cellStyle name="_испр +предвар_EZZ554_29.01.04_1" xfId="255"/>
    <cellStyle name="_КАРГО" xfId="257"/>
    <cellStyle name="_Копия на доки общий" xfId="259"/>
    <cellStyle name="_НА 20,03,02" xfId="261"/>
    <cellStyle name="_на доки" xfId="262"/>
    <cellStyle name="_На проверку автозапчасти 2152" xfId="263"/>
    <cellStyle name="_НОВЫЕ ЗАПЧАСТ" xfId="264"/>
    <cellStyle name="_НОВЫЙ ОБРАЗЕЦ PAGE1-2" xfId="265"/>
    <cellStyle name="_онисание" xfId="181"/>
    <cellStyle name="_онисание 2" xfId="266"/>
    <cellStyle name="_онисание__бланк расчета" xfId="267"/>
    <cellStyle name="_онисание__бланк расчета 2" xfId="268"/>
    <cellStyle name="_онисание__Расчет" xfId="155"/>
    <cellStyle name="_онисание_1" xfId="269"/>
    <cellStyle name="_ПАКИНГ НА ОФОРМЛЕНИЕ без фото" xfId="55"/>
    <cellStyle name="_Пер 3923 ЕВРОПА (Обвь)_Elche-1 (4)" xfId="270"/>
    <cellStyle name="_Пер 4036 ЕВРОПА (Обвь)_Elche-2" xfId="62"/>
    <cellStyle name="_Пер 4043 ЕВРОПА (Обувь)_Elche-3" xfId="42"/>
    <cellStyle name="_Пер 5307 --ЕВРОПА-- (Станок)_CDLINE" xfId="168"/>
    <cellStyle name="_перевод пакинга" xfId="249"/>
    <cellStyle name="_предвар_EZZ554_04.02.04_final" xfId="212"/>
    <cellStyle name="_Предвар_YCS-983_11.03.04" xfId="272"/>
    <cellStyle name="_расчет ЗАПЧАСТИ 10 09 2002" xfId="274"/>
    <cellStyle name="_Расчет Скандия" xfId="50"/>
    <cellStyle name="_Спецификация-РЭМ" xfId="275"/>
    <cellStyle name="_т121" xfId="276"/>
    <cellStyle name="_т121_070618-XXX-51" xfId="47"/>
    <cellStyle name="_таблица для запроса (2)" xfId="278"/>
    <cellStyle name="_Форма инвойса UBCI" xfId="279"/>
    <cellStyle name="_预发 铁路集装箱" xfId="280"/>
    <cellStyle name="0,0&#10;&#10;NA&#10;&#10;" xfId="281"/>
    <cellStyle name="0,0_x000d_&#10;NA_x000d_&#10;" xfId="167"/>
    <cellStyle name="0,0_x000d_&#10;NA_x000d_&#10; 2" xfId="282"/>
    <cellStyle name="20% - ส่วนที่ถูกเน้น1" xfId="283"/>
    <cellStyle name="20% - ส่วนที่ถูกเน้น2" xfId="260"/>
    <cellStyle name="20% - ส่วนที่ถูกเน้น3" xfId="140"/>
    <cellStyle name="20% - ส่วนที่ถูกเน้น4" xfId="180"/>
    <cellStyle name="20% - ส่วนที่ถูกเน้น5" xfId="284"/>
    <cellStyle name="20% - ส่วนที่ถูกเน้น6" xfId="34"/>
    <cellStyle name="20% - 强调文字颜色 1" xfId="285"/>
    <cellStyle name="20% - 强调文字颜色 2" xfId="287"/>
    <cellStyle name="20% - 强调文字颜色 3" xfId="288"/>
    <cellStyle name="20% - 强调文字颜色 4" xfId="289"/>
    <cellStyle name="20% - 强调文字颜色 5" xfId="290"/>
    <cellStyle name="20% - 强调文字颜色 6" xfId="292"/>
    <cellStyle name="40% - ส่วนที่ถูกเน้น1" xfId="293"/>
    <cellStyle name="40% - ส่วนที่ถูกเน้น2" xfId="120"/>
    <cellStyle name="40% - ส่วนที่ถูกเน้น3" xfId="294"/>
    <cellStyle name="40% - ส่วนที่ถูกเน้น4" xfId="7"/>
    <cellStyle name="40% - ส่วนที่ถูกเน้น5" xfId="108"/>
    <cellStyle name="40% - ส่วนที่ถูกเน้น6" xfId="296"/>
    <cellStyle name="40% - 强调文字颜色 1" xfId="173"/>
    <cellStyle name="40% - 强调文字颜色 2" xfId="124"/>
    <cellStyle name="40% - 强调文字颜色 3" xfId="240"/>
    <cellStyle name="40% - 强调文字颜色 4" xfId="298"/>
    <cellStyle name="40% - 强调文字颜色 5" xfId="299"/>
    <cellStyle name="40% - 强调文字颜色 6" xfId="115"/>
    <cellStyle name="60% - ส่วนที่ถูกเน้น1" xfId="300"/>
    <cellStyle name="60% - ส่วนที่ถูกเน้น2" xfId="37"/>
    <cellStyle name="60% - ส่วนที่ถูกเน้น3" xfId="247"/>
    <cellStyle name="60% - ส่วนที่ถูกเน้น4" xfId="302"/>
    <cellStyle name="60% - ส่วนที่ถูกเน้น5" xfId="303"/>
    <cellStyle name="60% - ส่วนที่ถูกเน้น6" xfId="75"/>
    <cellStyle name="60% - 强调文字颜色 1" xfId="154"/>
    <cellStyle name="60% - 强调文字颜色 2" xfId="304"/>
    <cellStyle name="60% - 强调文字颜色 3" xfId="305"/>
    <cellStyle name="60% - 强调文字颜色 4" xfId="25"/>
    <cellStyle name="60% - 强调文字颜色 5" xfId="232"/>
    <cellStyle name="60% - 强调文字颜色 6" xfId="306"/>
    <cellStyle name="Comma [0]_Abd &quot;A&quot;" xfId="308"/>
    <cellStyle name="Comma_Abd &quot;A&quot;" xfId="214"/>
    <cellStyle name="Comma0" xfId="309"/>
    <cellStyle name="Currency [0]_Abd &quot;A&quot;" xfId="310"/>
    <cellStyle name="Currency_Abd &quot;A&quot;" xfId="311"/>
    <cellStyle name="Currency0" xfId="313"/>
    <cellStyle name="Date" xfId="315"/>
    <cellStyle name="Euro" xfId="316"/>
    <cellStyle name="Excel Built-in _091126_инвойс одежда balance" xfId="318"/>
    <cellStyle name="Excel Built-in 0,0 NA _расчет сборник нормальный со спецухой" xfId="49"/>
    <cellStyle name="Excel Built-in Обычный 2 7 2" xfId="244"/>
    <cellStyle name="Excel Built-in Обычный_09 04 доки GESU 5014845" xfId="319"/>
    <cellStyle name="Fixed" xfId="322"/>
    <cellStyle name="Header1" xfId="323"/>
    <cellStyle name="Header2" xfId="324"/>
    <cellStyle name="Header2 2" xfId="325"/>
    <cellStyle name="Header2 3" xfId="97"/>
    <cellStyle name="Heading 1" xfId="1"/>
    <cellStyle name="Heading 2" xfId="326"/>
    <cellStyle name="Normaali_stock" xfId="327"/>
    <cellStyle name="Normal" xfId="409"/>
    <cellStyle name="Normal 2" xfId="227"/>
    <cellStyle name="Normal 2 2" xfId="295"/>
    <cellStyle name="Normal_0LOADINGPLAN.JUDE.1" xfId="328"/>
    <cellStyle name="Normale_STANY" xfId="217"/>
    <cellStyle name="№йєРАІ_±вЕё" xfId="4"/>
    <cellStyle name="SAPBEXstdData" xfId="330"/>
    <cellStyle name="Standard_04-03-082-exam-new" xfId="183"/>
    <cellStyle name="Style 1" xfId="331"/>
    <cellStyle name="style08" xfId="332"/>
    <cellStyle name="style08 2" xfId="136"/>
    <cellStyle name="style11" xfId="334"/>
    <cellStyle name="style11 2" xfId="114"/>
    <cellStyle name="Total" xfId="335"/>
    <cellStyle name="Гиперссылка" xfId="337" builtinId="8"/>
    <cellStyle name="Гиперссылка 2" xfId="291"/>
    <cellStyle name="Де?ежный [0]_23431675 (2)_28511014 свх" xfId="338"/>
    <cellStyle name="Деҽежный [0]_23431675 (2)_28511014 свх" xfId="107"/>
    <cellStyle name="Денежный 2" xfId="340"/>
    <cellStyle name="Денежный 3" xfId="341"/>
    <cellStyle name="Денежный 4" xfId="342"/>
    <cellStyle name="ДЮё¶ [0]_±вЕё" xfId="188"/>
    <cellStyle name="ДЮё¶_±вЕё" xfId="9"/>
    <cellStyle name="ЕлИ­ [0]_±вЕё" xfId="343"/>
    <cellStyle name="ЕлИ­_±вЕё" xfId="344"/>
    <cellStyle name="ЗҐБШ_°иИ№" xfId="152"/>
    <cellStyle name="Обычный" xfId="0" builtinId="0"/>
    <cellStyle name="Обычный 10" xfId="199"/>
    <cellStyle name="Обычный 10 2" xfId="119"/>
    <cellStyle name="Обычный 2" xfId="321"/>
    <cellStyle name="Обычный 2 2" xfId="256"/>
    <cellStyle name="Обычный 2 2 3" xfId="408"/>
    <cellStyle name="Обычный 2 3" xfId="345"/>
    <cellStyle name="Обычный 2 7 2" xfId="113"/>
    <cellStyle name="Обычный 2_ИНВ_ПАК_СПЕЦ_MARINECHOICE" xfId="346"/>
    <cellStyle name="Обычный 27" xfId="144"/>
    <cellStyle name="Обычный 3" xfId="91"/>
    <cellStyle name="Обычный 3 2" xfId="74"/>
    <cellStyle name="Обычный 4" xfId="348"/>
    <cellStyle name="Обычный 4 2" xfId="350"/>
    <cellStyle name="Обычный 5" xfId="135"/>
    <cellStyle name="Обычный 5 2" xfId="351"/>
    <cellStyle name="Обычный 6" xfId="349"/>
    <cellStyle name="Обычный 6 3" xfId="352"/>
    <cellStyle name="Обычный 7" xfId="5"/>
    <cellStyle name="Обычный 7 2" xfId="226"/>
    <cellStyle name="Обычный 8" xfId="336"/>
    <cellStyle name="Обычный 8 2" xfId="354"/>
    <cellStyle name="Обычный 9" xfId="138"/>
    <cellStyle name="Обычный 9 2" xfId="355"/>
    <cellStyle name="Обычный_002F_I_RUB" xfId="277"/>
    <cellStyle name="Обычный_KUAIXIAN-6服装" xfId="356"/>
    <cellStyle name="Обычный_упак.лист_2" xfId="357"/>
    <cellStyle name="Стиль 1" xfId="358"/>
    <cellStyle name="Стиль 1 2" xfId="359"/>
    <cellStyle name="Стиль 1 2 2" xfId="242"/>
    <cellStyle name="Стиль 1 2 3" xfId="360"/>
    <cellStyle name="Стиль 1_ИНВ_ПАК_СПЕЦ_MARINECHOICE" xfId="105"/>
    <cellStyle name="Финансовый 2" xfId="24"/>
    <cellStyle name="เซลล์ตรวจสอบ" xfId="362"/>
    <cellStyle name="เซลล์ที่มีการเชื่อมโยง" xfId="363"/>
    <cellStyle name="แย่" xfId="194"/>
    <cellStyle name="แสดงผล" xfId="229"/>
    <cellStyle name="แสดงผล 2" xfId="364"/>
    <cellStyle name="การคำนวณ" xfId="365"/>
    <cellStyle name="การคำนวณ 2" xfId="163"/>
    <cellStyle name="ข้อความเตือน" xfId="366"/>
    <cellStyle name="ข้อความอธิบาย" xfId="123"/>
    <cellStyle name="ชื่อเรื่อง" xfId="273"/>
    <cellStyle name="ดี" xfId="367"/>
    <cellStyle name="ป้อนค่า" xfId="368"/>
    <cellStyle name="ป้อนค่า 2" xfId="369"/>
    <cellStyle name="ปานกลาง" xfId="29"/>
    <cellStyle name="ผลรวม" xfId="329"/>
    <cellStyle name="ผลรวม 2" xfId="370"/>
    <cellStyle name="ส่วนที่ถูกเน้น1" xfId="314"/>
    <cellStyle name="ส่วนที่ถูกเน้น2" xfId="371"/>
    <cellStyle name="ส่วนที่ถูกเน้น3" xfId="372"/>
    <cellStyle name="ส่วนที่ถูกเน้น4" xfId="373"/>
    <cellStyle name="ส่วนที่ถูกเน้น5" xfId="151"/>
    <cellStyle name="ส่วนที่ถูกเน้น6" xfId="13"/>
    <cellStyle name="หมายเหตุ" xfId="374"/>
    <cellStyle name="หมายเหตุ 2" xfId="375"/>
    <cellStyle name="หัวเรื่อง 1" xfId="110"/>
    <cellStyle name="หัวเรื่อง 2" xfId="376"/>
    <cellStyle name="หัวเรื่อง 3" xfId="377"/>
    <cellStyle name="หัวเรื่อง 4" xfId="177"/>
    <cellStyle name="콤마 [0]_sokol06" xfId="171"/>
    <cellStyle name="표준_PackingList(by PartNo)" xfId="378"/>
    <cellStyle name="一般_Accounts and Statistics" xfId="361"/>
    <cellStyle name="千位分隔_Sheet1" xfId="33"/>
    <cellStyle name="好" xfId="379"/>
    <cellStyle name="差" xfId="380"/>
    <cellStyle name="常规 11 10" xfId="297"/>
    <cellStyle name="常规 11 4" xfId="381"/>
    <cellStyle name="常规 14 4" xfId="382"/>
    <cellStyle name="常规 15 4" xfId="383"/>
    <cellStyle name="常规 19 4" xfId="221"/>
    <cellStyle name="常规 2" xfId="384"/>
    <cellStyle name="常规 2 15" xfId="320"/>
    <cellStyle name="常规 2 2" xfId="307"/>
    <cellStyle name="常规 2 4" xfId="99"/>
    <cellStyle name="常规 21 4" xfId="312"/>
    <cellStyle name="常规 22 4" xfId="339"/>
    <cellStyle name="常规 24 4" xfId="220"/>
    <cellStyle name="常规 27 4" xfId="301"/>
    <cellStyle name="常规 28 4" xfId="347"/>
    <cellStyle name="常规 29 4" xfId="196"/>
    <cellStyle name="常规 3 10" xfId="385"/>
    <cellStyle name="常规 3 16" xfId="46"/>
    <cellStyle name="常规 3 4" xfId="386"/>
    <cellStyle name="常规 39" xfId="66"/>
    <cellStyle name="常规 4 4" xfId="387"/>
    <cellStyle name="常规 5 2" xfId="389"/>
    <cellStyle name="常规 5 4" xfId="390"/>
    <cellStyle name="常规 6" xfId="392"/>
    <cellStyle name="常规 6 4" xfId="393"/>
    <cellStyle name="常规 7 4" xfId="394"/>
    <cellStyle name="常规 8" xfId="317"/>
    <cellStyle name="常规_0" xfId="32"/>
    <cellStyle name="强调文字颜色 1" xfId="395"/>
    <cellStyle name="强调文字颜色 2" xfId="258"/>
    <cellStyle name="强调文字颜色 3" xfId="353"/>
    <cellStyle name="强调文字颜色 4" xfId="396"/>
    <cellStyle name="强调文字颜色 5" xfId="175"/>
    <cellStyle name="强调文字颜色 6" xfId="397"/>
    <cellStyle name="标题" xfId="388"/>
    <cellStyle name="标题 1" xfId="398"/>
    <cellStyle name="标题 2" xfId="166"/>
    <cellStyle name="标题 3" xfId="399"/>
    <cellStyle name="标题 4" xfId="400"/>
    <cellStyle name="样式 1" xfId="57"/>
    <cellStyle name="检查单元格" xfId="401"/>
    <cellStyle name="汇总" xfId="160"/>
    <cellStyle name="汇总 2" xfId="126"/>
    <cellStyle name="注释" xfId="391"/>
    <cellStyle name="注释 2" xfId="402"/>
    <cellStyle name="解释性文本" xfId="403"/>
    <cellStyle name="警告文本" xfId="404"/>
    <cellStyle name="计算" xfId="405"/>
    <cellStyle name="计算 2" xfId="239"/>
    <cellStyle name="输入" xfId="271"/>
    <cellStyle name="输入 2" xfId="406"/>
    <cellStyle name="输出" xfId="407"/>
    <cellStyle name="输出 2" xfId="286"/>
    <cellStyle name="适中" xfId="333"/>
    <cellStyle name="链接单元格" xfId="31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</xdr:colOff>
      <xdr:row>18</xdr:row>
      <xdr:rowOff>19050</xdr:rowOff>
    </xdr:from>
    <xdr:to>
      <xdr:col>8</xdr:col>
      <xdr:colOff>733425</xdr:colOff>
      <xdr:row>23</xdr:row>
      <xdr:rowOff>171450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2250" y="6210300"/>
          <a:ext cx="2393950" cy="11049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35</xdr:row>
      <xdr:rowOff>19050</xdr:rowOff>
    </xdr:from>
    <xdr:to>
      <xdr:col>3</xdr:col>
      <xdr:colOff>161925</xdr:colOff>
      <xdr:row>44</xdr:row>
      <xdr:rowOff>28575</xdr:rowOff>
    </xdr:to>
    <xdr:pic>
      <xdr:nvPicPr>
        <xdr:cNvPr id="13615" name="Picture 1" descr="stamp_hd_rgb">
          <a:extLst>
            <a:ext uri="{FF2B5EF4-FFF2-40B4-BE49-F238E27FC236}">
              <a16:creationId xmlns:a16="http://schemas.microsoft.com/office/drawing/2014/main" xmlns="" id="{00000000-0008-0000-0300-00002F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352675" y="6953250"/>
          <a:ext cx="2000250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228600</xdr:colOff>
      <xdr:row>40</xdr:row>
      <xdr:rowOff>104775</xdr:rowOff>
    </xdr:from>
    <xdr:to>
      <xdr:col>2</xdr:col>
      <xdr:colOff>1000125</xdr:colOff>
      <xdr:row>42</xdr:row>
      <xdr:rowOff>142875</xdr:rowOff>
    </xdr:to>
    <xdr:pic>
      <xdr:nvPicPr>
        <xdr:cNvPr id="13616" name="Picture 2" descr="sign_hd_rgb">
          <a:extLst>
            <a:ext uri="{FF2B5EF4-FFF2-40B4-BE49-F238E27FC236}">
              <a16:creationId xmlns:a16="http://schemas.microsoft.com/office/drawing/2014/main" xmlns="" id="{00000000-0008-0000-0300-000030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724025" y="7991475"/>
          <a:ext cx="7715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600075</xdr:colOff>
      <xdr:row>37</xdr:row>
      <xdr:rowOff>95250</xdr:rowOff>
    </xdr:from>
    <xdr:to>
      <xdr:col>8</xdr:col>
      <xdr:colOff>419100</xdr:colOff>
      <xdr:row>41</xdr:row>
      <xdr:rowOff>180975</xdr:rowOff>
    </xdr:to>
    <xdr:pic>
      <xdr:nvPicPr>
        <xdr:cNvPr id="13617" name="Picture 3" descr="sign_yanstroy_rgb">
          <a:extLst>
            <a:ext uri="{FF2B5EF4-FFF2-40B4-BE49-F238E27FC236}">
              <a16:creationId xmlns:a16="http://schemas.microsoft.com/office/drawing/2014/main" xmlns="" id="{00000000-0008-0000-0300-000031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344025" y="7410450"/>
          <a:ext cx="17430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695325</xdr:colOff>
      <xdr:row>34</xdr:row>
      <xdr:rowOff>47625</xdr:rowOff>
    </xdr:from>
    <xdr:to>
      <xdr:col>11</xdr:col>
      <xdr:colOff>133350</xdr:colOff>
      <xdr:row>42</xdr:row>
      <xdr:rowOff>171450</xdr:rowOff>
    </xdr:to>
    <xdr:pic>
      <xdr:nvPicPr>
        <xdr:cNvPr id="13618" name="Picture 4" descr="stamp_yanstroy_rgb">
          <a:extLst>
            <a:ext uri="{FF2B5EF4-FFF2-40B4-BE49-F238E27FC236}">
              <a16:creationId xmlns:a16="http://schemas.microsoft.com/office/drawing/2014/main" xmlns="" id="{00000000-0008-0000-0300-000032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6FF"/>
            </a:clrFrom>
            <a:clrTo>
              <a:srgbClr val="FFF6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1363325" y="6791325"/>
          <a:ext cx="1666875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\e\&#1056;&#1072;&#1073;&#1086;&#1095;&#1080;&#1077;%20&#1092;&#1072;&#1081;&#1083;&#1099;\Alk\&#1048;&#1085;&#1074;&#1086;&#1081;&#1089;&#1099;\&#1063;&#1072;&#1081;\&#1057;&#1090;&#1072;&#1088;&#1099;&#1077;%20&#1095;&#1072;&#1080;-%20&#1057;&#1072;&#1093;&#1072;,%20&#1057;&#1080;&#1085;&#1075;&#1093;%20-%20&#1069;&#1083;&#1090;&#1080;&#1082;\&#1057;&#1072;&#1093;&#1072;\&#1051;&#1077;&#1085;&#1072;\04-12-97%202081%20&#1095;&#1072;&#1081;%20&#1057;&#1072;&#1093;&#1072;%20&#1057;&#1090;&#1088;&#1086;&#1081;%201295%20I-DDP-18120%20W-13283.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ad\share_c\&#1052;&#1086;&#1080;%20&#1076;&#1086;&#1082;&#1091;&#1084;&#1077;&#1085;&#1090;&#1099;\&#1057;&#1074;&#1072;&#1083;&#1082;&#1072;\&#1048;&#1085;&#1074;&#1086;&#1081;&#1089;&#1099;%20&#1085;&#1072;%2004,06,200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Расчет"/>
      <sheetName val="INV"/>
      <sheetName val="PL"/>
      <sheetName val="SL BL"/>
      <sheetName val="M BL"/>
      <sheetName val="&quot;A&quot;"/>
      <sheetName val="SL_BL"/>
      <sheetName val="M_BL"/>
      <sheetName val="Лист1"/>
      <sheetName val="Arkusz1"/>
      <sheetName val="SL_BL1"/>
      <sheetName val="M_BL1"/>
      <sheetName val="SL_BL3"/>
      <sheetName val="M_BL3"/>
      <sheetName val="SL_BL2"/>
      <sheetName val="M_BL2"/>
      <sheetName val="Лист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USSWERE"/>
      <sheetName val="invoice"/>
      <sheetName val="ЗАКАЗ СРТ"/>
      <sheetName val="Отправитель"/>
      <sheetName val="ЗАКАЗ_СРТ"/>
      <sheetName val="SIRTEK"/>
      <sheetName val="день"/>
      <sheetName val="сч-та"/>
      <sheetName val="Контакты "/>
      <sheetName val="дела Лена"/>
      <sheetName val="дела КЕ"/>
      <sheetName val="ОТС 2012"/>
      <sheetName val="Теко"/>
      <sheetName val="Атия"/>
      <sheetName val="Форум"/>
      <sheetName val="ТЕКСРУС-Новотранс"/>
      <sheetName val="Диалог 2012"/>
      <sheetName val="Умная Л"/>
      <sheetName val="СВТС-Балтэк"/>
      <sheetName val="Левин"/>
      <sheetName val="Роладос"/>
      <sheetName val="Рябина"/>
      <sheetName val="Запросы"/>
      <sheetName val="Роладос СБОРКА"/>
      <sheetName val="Лист1"/>
      <sheetName val="Лист2"/>
      <sheetName val="Лист3"/>
      <sheetName val="Лист4"/>
      <sheetName val="ЗАКАЗ_СРТ1"/>
      <sheetName val="Расчет"/>
      <sheetName val="Контакты_"/>
      <sheetName val="дела_Лена"/>
      <sheetName val="дела_КЕ"/>
      <sheetName val="ОТС_2012"/>
      <sheetName val="Диалог_2012"/>
      <sheetName val="Умная_Л"/>
      <sheetName val="Роладос_СБОРКА"/>
      <sheetName val="_x0000_ĄĄ¿_x0000__x0008__x0008_ǿ_x0000__x0000__x0008_ο_x0000__x0000__x0002_В_x0000_￼_xffff__x0015__x0016__x0017__x0018__x0019__x001a__x001b__x001c__x001d__x001e__x001f_ "/>
      <sheetName val=""/>
      <sheetName val="ЗАКАЗ_СРТ3"/>
      <sheetName val="Контакты_2"/>
      <sheetName val="дела_Лена2"/>
      <sheetName val="дела_КЕ2"/>
      <sheetName val="ОТС_20122"/>
      <sheetName val="Диалог_20122"/>
      <sheetName val="Умная_Л2"/>
      <sheetName val="Роладос_СБОРКА2"/>
      <sheetName val="ЗАКАЗ_СРТ2"/>
      <sheetName val="Контакты_1"/>
      <sheetName val="дела_Лена1"/>
      <sheetName val="дела_КЕ1"/>
      <sheetName val="ОТС_20121"/>
      <sheetName val="Диалог_20121"/>
      <sheetName val="Умная_Л1"/>
      <sheetName val="Роладос_СБОРКА1"/>
      <sheetName val="?ĄĄ¿?_x0008__x0008_ǿ??_x0008_ο??_x0002_В?￼_xffff__x0015__x0016__x0017__x0018__x0019__x001a__x001b__x001c__x001d__x001e__x001f_ "/>
      <sheetName val="_ĄĄ¿__x0008__x0008_ǿ___x0008_ο___x0002_В_￼_xffff__x0015__x0016__x0017__x0018__x0019__x001a__x001b__x001c__x001d__x001e__x001f_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7"/>
  <sheetViews>
    <sheetView tabSelected="1" zoomScaleSheetLayoutView="88" workbookViewId="0">
      <selection activeCell="D11" sqref="D11"/>
    </sheetView>
  </sheetViews>
  <sheetFormatPr defaultColWidth="9.140625" defaultRowHeight="15"/>
  <cols>
    <col min="1" max="1" width="13.5703125" style="97" customWidth="1"/>
    <col min="2" max="2" width="20.5703125" style="97" customWidth="1"/>
    <col min="3" max="3" width="12.42578125" style="98" customWidth="1"/>
    <col min="4" max="4" width="50" style="98" customWidth="1"/>
    <col min="5" max="5" width="13" style="98" customWidth="1"/>
    <col min="6" max="6" width="25.5703125" style="98" customWidth="1"/>
    <col min="7" max="7" width="13.5703125" style="97" customWidth="1"/>
    <col min="8" max="8" width="12.42578125" style="97" customWidth="1"/>
    <col min="9" max="9" width="13.28515625" style="97" customWidth="1"/>
    <col min="10" max="10" width="10.5703125" style="97" customWidth="1"/>
    <col min="11" max="11" width="15" style="97" customWidth="1"/>
    <col min="12" max="12" width="14" style="101" customWidth="1"/>
    <col min="13" max="16384" width="9.140625" style="97"/>
  </cols>
  <sheetData>
    <row r="1" spans="1:12" ht="27">
      <c r="A1" s="134" t="s">
        <v>87</v>
      </c>
      <c r="B1" s="135"/>
      <c r="C1" s="135"/>
      <c r="D1" s="135"/>
      <c r="E1" s="135"/>
      <c r="F1" s="136"/>
      <c r="G1" s="135"/>
      <c r="H1" s="135"/>
      <c r="I1" s="135"/>
      <c r="J1" s="135"/>
      <c r="K1" s="137"/>
    </row>
    <row r="2" spans="1:12">
      <c r="A2" s="113" t="s">
        <v>77</v>
      </c>
      <c r="B2" s="145" t="s">
        <v>93</v>
      </c>
      <c r="C2" s="145"/>
      <c r="D2" s="114"/>
      <c r="E2" s="115" t="s">
        <v>81</v>
      </c>
      <c r="F2" s="124"/>
      <c r="G2" s="146" t="s">
        <v>94</v>
      </c>
      <c r="H2" s="146"/>
      <c r="I2" s="116" t="s">
        <v>75</v>
      </c>
      <c r="J2" s="140">
        <v>44465</v>
      </c>
      <c r="K2" s="141"/>
    </row>
    <row r="3" spans="1:12">
      <c r="A3" s="6"/>
      <c r="B3" s="7"/>
      <c r="C3" s="102"/>
      <c r="D3" s="62"/>
      <c r="E3" s="88"/>
      <c r="F3" s="88"/>
      <c r="G3" s="93"/>
      <c r="H3" s="92"/>
      <c r="I3" s="106"/>
      <c r="J3" s="106"/>
      <c r="K3" s="117"/>
    </row>
    <row r="4" spans="1:12">
      <c r="A4" s="118"/>
      <c r="B4" s="7"/>
      <c r="C4" s="102"/>
      <c r="D4" s="62"/>
      <c r="E4" s="88"/>
      <c r="F4" s="88"/>
      <c r="G4" s="93"/>
      <c r="H4" s="92"/>
      <c r="I4" s="106"/>
      <c r="J4" s="106"/>
      <c r="K4" s="117"/>
    </row>
    <row r="5" spans="1:12" ht="65.25" customHeight="1">
      <c r="A5" s="148" t="s">
        <v>88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</row>
    <row r="6" spans="1:12">
      <c r="A6" s="6"/>
      <c r="B6" s="7"/>
      <c r="C6" s="102"/>
      <c r="D6" s="62"/>
      <c r="E6" s="88"/>
      <c r="F6" s="88"/>
      <c r="G6" s="93"/>
      <c r="H6" s="92"/>
      <c r="I6" s="106"/>
      <c r="J6" s="106"/>
      <c r="K6" s="117"/>
    </row>
    <row r="7" spans="1:12" ht="15" customHeight="1">
      <c r="A7" s="6" t="s">
        <v>84</v>
      </c>
      <c r="B7" s="123"/>
      <c r="C7" s="147" t="s">
        <v>101</v>
      </c>
      <c r="D7" s="147"/>
      <c r="E7" s="7" t="s">
        <v>78</v>
      </c>
      <c r="F7" s="7"/>
      <c r="G7" s="138" t="s">
        <v>102</v>
      </c>
      <c r="H7" s="138"/>
      <c r="I7" s="138"/>
      <c r="J7" s="138"/>
      <c r="K7" s="139"/>
    </row>
    <row r="8" spans="1:12">
      <c r="A8" s="6" t="s">
        <v>85</v>
      </c>
      <c r="B8" s="123"/>
      <c r="C8" s="147"/>
      <c r="D8" s="147"/>
      <c r="E8" s="7" t="s">
        <v>79</v>
      </c>
      <c r="F8" s="7"/>
      <c r="G8" s="138"/>
      <c r="H8" s="138"/>
      <c r="I8" s="138"/>
      <c r="J8" s="138"/>
      <c r="K8" s="139"/>
    </row>
    <row r="9" spans="1:12" ht="97.5" customHeight="1">
      <c r="A9" s="119"/>
      <c r="B9" s="123"/>
      <c r="C9" s="147"/>
      <c r="D9" s="147"/>
      <c r="E9" s="107"/>
      <c r="F9" s="107"/>
      <c r="G9" s="138"/>
      <c r="H9" s="138"/>
      <c r="I9" s="138"/>
      <c r="J9" s="138"/>
      <c r="K9" s="139"/>
    </row>
    <row r="10" spans="1:12" ht="15" customHeight="1">
      <c r="A10" s="96"/>
      <c r="B10" s="95"/>
      <c r="C10" s="95"/>
      <c r="D10" s="95"/>
      <c r="E10" s="95"/>
      <c r="F10" s="95"/>
      <c r="G10" s="106"/>
      <c r="H10" s="106"/>
      <c r="I10" s="95"/>
      <c r="J10" s="95"/>
      <c r="K10" s="120"/>
      <c r="L10" s="95"/>
    </row>
    <row r="11" spans="1:12">
      <c r="A11" s="6" t="s">
        <v>82</v>
      </c>
      <c r="B11" s="122"/>
      <c r="C11" s="19" t="s">
        <v>91</v>
      </c>
      <c r="D11" s="62"/>
      <c r="E11" s="103" t="s">
        <v>71</v>
      </c>
      <c r="F11" s="103"/>
      <c r="G11" s="89"/>
      <c r="H11" s="7" t="s">
        <v>74</v>
      </c>
      <c r="I11" s="89"/>
      <c r="J11" s="93"/>
      <c r="K11" s="94"/>
      <c r="L11" s="93"/>
    </row>
    <row r="12" spans="1:12" ht="15.75">
      <c r="A12" s="121" t="s">
        <v>83</v>
      </c>
      <c r="B12" s="93"/>
      <c r="C12" s="133" t="s">
        <v>92</v>
      </c>
      <c r="D12" s="62"/>
      <c r="E12" s="108" t="s">
        <v>70</v>
      </c>
      <c r="F12" s="108"/>
      <c r="G12" s="89"/>
      <c r="H12" s="7" t="s">
        <v>89</v>
      </c>
      <c r="I12" s="89"/>
      <c r="J12" s="93"/>
      <c r="K12" s="94"/>
      <c r="L12" s="93"/>
    </row>
    <row r="13" spans="1:12">
      <c r="A13" s="119"/>
      <c r="B13" s="109"/>
      <c r="C13" s="99"/>
      <c r="D13" s="62"/>
      <c r="E13" s="88"/>
      <c r="F13" s="88"/>
      <c r="G13" s="93"/>
      <c r="H13" s="93"/>
      <c r="I13" s="93"/>
      <c r="J13" s="93"/>
      <c r="K13" s="94"/>
      <c r="L13" s="93"/>
    </row>
    <row r="14" spans="1:12" ht="51">
      <c r="A14" s="25" t="s">
        <v>1</v>
      </c>
      <c r="B14" s="25" t="s">
        <v>2</v>
      </c>
      <c r="C14" s="90" t="s">
        <v>72</v>
      </c>
      <c r="D14" s="25" t="s">
        <v>3</v>
      </c>
      <c r="E14" s="25" t="s">
        <v>96</v>
      </c>
      <c r="F14" s="131" t="s">
        <v>90</v>
      </c>
      <c r="G14" s="25" t="s">
        <v>95</v>
      </c>
      <c r="H14" s="25" t="s">
        <v>8</v>
      </c>
      <c r="I14" s="90" t="s">
        <v>7</v>
      </c>
      <c r="J14" s="130" t="s">
        <v>97</v>
      </c>
      <c r="K14" s="91" t="s">
        <v>98</v>
      </c>
    </row>
    <row r="15" spans="1:12" s="127" customFormat="1" ht="38.25">
      <c r="A15" s="128">
        <v>2</v>
      </c>
      <c r="B15" s="167">
        <v>8479899708</v>
      </c>
      <c r="C15" s="104" t="s">
        <v>73</v>
      </c>
      <c r="D15" s="105" t="s">
        <v>100</v>
      </c>
      <c r="E15" s="100">
        <v>1</v>
      </c>
      <c r="F15" s="132" t="s">
        <v>99</v>
      </c>
      <c r="G15" s="126">
        <v>5</v>
      </c>
      <c r="H15" s="100">
        <v>2980</v>
      </c>
      <c r="I15" s="100">
        <v>3270</v>
      </c>
      <c r="J15" s="100">
        <f>K15/E15</f>
        <v>55000</v>
      </c>
      <c r="K15" s="100">
        <v>55000</v>
      </c>
    </row>
    <row r="16" spans="1:12">
      <c r="A16" s="29"/>
      <c r="B16" s="143" t="s">
        <v>76</v>
      </c>
      <c r="C16" s="144"/>
      <c r="D16" s="90"/>
      <c r="E16" s="125">
        <f>SUM(E15:E15)</f>
        <v>1</v>
      </c>
      <c r="F16" s="125"/>
      <c r="G16" s="125">
        <f>SUM(G15:G15)</f>
        <v>5</v>
      </c>
      <c r="H16" s="125">
        <f>SUM(H15:H15)</f>
        <v>2980</v>
      </c>
      <c r="I16" s="125">
        <f>SUM(I15:I15)</f>
        <v>3270</v>
      </c>
      <c r="J16" s="125"/>
      <c r="K16" s="125">
        <f>SUM(K15:K15)</f>
        <v>55000</v>
      </c>
    </row>
    <row r="17" spans="1:12">
      <c r="A17" s="129" t="s">
        <v>86</v>
      </c>
      <c r="B17" s="106"/>
      <c r="C17" s="107"/>
      <c r="D17" s="111"/>
      <c r="E17" s="107"/>
      <c r="F17" s="107"/>
      <c r="G17" s="106"/>
      <c r="H17" s="106"/>
      <c r="I17" s="106"/>
      <c r="J17" s="106"/>
      <c r="K17" s="106"/>
    </row>
    <row r="18" spans="1:12">
      <c r="A18" s="106"/>
      <c r="B18" s="106"/>
      <c r="C18" s="107"/>
      <c r="D18" s="110" t="s">
        <v>80</v>
      </c>
      <c r="E18" s="107"/>
      <c r="F18" s="107"/>
      <c r="G18" s="106"/>
      <c r="H18" s="106"/>
      <c r="I18" s="106"/>
      <c r="J18" s="106"/>
      <c r="K18" s="106"/>
    </row>
    <row r="19" spans="1:12">
      <c r="A19" s="106"/>
      <c r="B19" s="106"/>
      <c r="C19" s="107"/>
      <c r="D19" s="107"/>
      <c r="E19" s="107"/>
      <c r="F19" s="107"/>
      <c r="G19" s="142" t="s">
        <v>11</v>
      </c>
      <c r="H19" s="142"/>
      <c r="I19" s="142"/>
      <c r="J19" s="106"/>
      <c r="K19" s="106"/>
    </row>
    <row r="20" spans="1:12">
      <c r="A20" s="106"/>
      <c r="B20" s="106"/>
      <c r="C20" s="107"/>
      <c r="D20" s="107"/>
      <c r="E20" s="107"/>
      <c r="F20" s="107"/>
      <c r="G20" s="142"/>
      <c r="H20" s="142"/>
      <c r="I20" s="142"/>
      <c r="J20" s="106"/>
      <c r="K20" s="106"/>
      <c r="L20" s="97"/>
    </row>
    <row r="21" spans="1:12">
      <c r="A21" s="106"/>
      <c r="B21" s="106"/>
      <c r="C21" s="107"/>
      <c r="D21" s="107"/>
      <c r="E21" s="107"/>
      <c r="F21" s="107"/>
      <c r="G21" s="142"/>
      <c r="H21" s="142"/>
      <c r="I21" s="142"/>
      <c r="J21" s="106"/>
      <c r="K21" s="106"/>
      <c r="L21" s="97"/>
    </row>
    <row r="22" spans="1:12">
      <c r="A22" s="106"/>
      <c r="B22" s="106"/>
      <c r="C22" s="107"/>
      <c r="D22" s="107"/>
      <c r="E22" s="107"/>
      <c r="F22" s="107"/>
      <c r="G22" s="142"/>
      <c r="H22" s="142"/>
      <c r="I22" s="142"/>
      <c r="J22" s="106"/>
      <c r="K22" s="106"/>
      <c r="L22" s="97"/>
    </row>
    <row r="23" spans="1:12">
      <c r="A23" s="106"/>
      <c r="B23" s="106"/>
      <c r="C23" s="107"/>
      <c r="D23" s="107"/>
      <c r="E23" s="107"/>
      <c r="F23" s="107"/>
      <c r="G23" s="142"/>
      <c r="H23" s="142"/>
      <c r="I23" s="142"/>
      <c r="J23" s="106"/>
      <c r="K23" s="106"/>
      <c r="L23" s="97"/>
    </row>
    <row r="24" spans="1:12">
      <c r="A24" s="89"/>
      <c r="B24" s="89"/>
      <c r="C24" s="112"/>
      <c r="D24" s="112"/>
      <c r="E24" s="97"/>
      <c r="F24" s="97"/>
    </row>
    <row r="25" spans="1:12">
      <c r="A25" s="89"/>
      <c r="B25" s="89"/>
      <c r="C25" s="112"/>
      <c r="D25" s="112"/>
      <c r="E25" s="97"/>
      <c r="F25" s="97"/>
    </row>
    <row r="26" spans="1:12">
      <c r="E26" s="97"/>
      <c r="F26" s="97"/>
    </row>
    <row r="27" spans="1:12">
      <c r="E27" s="97"/>
      <c r="F27" s="97"/>
    </row>
  </sheetData>
  <mergeCells count="9">
    <mergeCell ref="A1:K1"/>
    <mergeCell ref="G7:K9"/>
    <mergeCell ref="J2:K2"/>
    <mergeCell ref="G19:I23"/>
    <mergeCell ref="B16:C16"/>
    <mergeCell ref="B2:C2"/>
    <mergeCell ref="G2:H2"/>
    <mergeCell ref="C7:D9"/>
    <mergeCell ref="A5:K5"/>
  </mergeCells>
  <conditionalFormatting sqref="G2 B2 C7 D15:K15">
    <cfRule type="containsBlanks" dxfId="4" priority="24">
      <formula>LEN(TRIM(B2))=0</formula>
    </cfRule>
  </conditionalFormatting>
  <conditionalFormatting sqref="J2:K2">
    <cfRule type="cellIs" dxfId="3" priority="18" operator="greaterThan">
      <formula>TODAY()</formula>
    </cfRule>
    <cfRule type="containsBlanks" dxfId="2" priority="19">
      <formula>LEN(TRIM(J2))=0</formula>
    </cfRule>
  </conditionalFormatting>
  <conditionalFormatting sqref="B15">
    <cfRule type="containsBlanks" dxfId="1" priority="1">
      <formula>LEN(TRIM(B15))=0</formula>
    </cfRule>
  </conditionalFormatting>
  <pageMargins left="0" right="0" top="0" bottom="0" header="0.31388888888888899" footer="0.31388888888888899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5"/>
  <sheetViews>
    <sheetView view="pageBreakPreview" zoomScale="60" workbookViewId="0">
      <selection activeCell="D9" sqref="D9"/>
    </sheetView>
  </sheetViews>
  <sheetFormatPr defaultColWidth="15.7109375" defaultRowHeight="15"/>
  <cols>
    <col min="1" max="1" width="4.7109375" style="4" customWidth="1"/>
    <col min="2" max="2" width="17.7109375" style="4" customWidth="1"/>
    <col min="3" max="3" width="40.42578125" style="4" customWidth="1"/>
    <col min="4" max="4" width="24" style="4" customWidth="1"/>
    <col min="5" max="5" width="15.42578125" style="4" customWidth="1"/>
    <col min="6" max="6" width="28.85546875" style="4" customWidth="1"/>
    <col min="7" max="7" width="15.7109375" style="4" customWidth="1"/>
    <col min="8" max="8" width="13.140625" style="4" customWidth="1"/>
    <col min="9" max="9" width="10.7109375" style="4" customWidth="1"/>
    <col min="10" max="10" width="9" style="4" customWidth="1"/>
    <col min="11" max="12" width="13.7109375" style="4" customWidth="1"/>
    <col min="13" max="13" width="10.42578125" style="5" customWidth="1"/>
    <col min="14" max="14" width="11.85546875" style="5" customWidth="1"/>
    <col min="15" max="15" width="12.28515625" style="5" customWidth="1"/>
    <col min="16" max="17" width="9.140625" style="5" customWidth="1"/>
    <col min="18" max="240" width="9.140625" style="4" customWidth="1"/>
    <col min="241" max="241" width="4" style="4" customWidth="1"/>
    <col min="242" max="242" width="12.140625" style="4" customWidth="1"/>
    <col min="243" max="243" width="44.85546875" style="4" customWidth="1"/>
    <col min="244" max="244" width="12.140625" style="4" customWidth="1"/>
    <col min="245" max="245" width="17.140625" style="4" customWidth="1"/>
    <col min="246" max="246" width="12.42578125" style="4" customWidth="1"/>
    <col min="247" max="247" width="15.42578125" style="4" customWidth="1"/>
    <col min="248" max="248" width="17.28515625" style="4" customWidth="1"/>
    <col min="249" max="249" width="12.28515625" style="4" customWidth="1"/>
    <col min="250" max="250" width="7.42578125" style="4" customWidth="1"/>
    <col min="251" max="251" width="12" style="4" customWidth="1"/>
    <col min="252" max="253" width="9.42578125" style="4" customWidth="1"/>
    <col min="254" max="254" width="14.7109375" style="4" customWidth="1"/>
    <col min="255" max="255" width="9.7109375" style="4" customWidth="1"/>
    <col min="256" max="16384" width="15.7109375" style="4"/>
  </cols>
  <sheetData>
    <row r="1" spans="1:18" s="1" customFormat="1" ht="34.5" customHeight="1">
      <c r="A1" s="154" t="s">
        <v>12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156"/>
      <c r="N1" s="157"/>
      <c r="P1" s="45"/>
      <c r="Q1" s="45"/>
    </row>
    <row r="2" spans="1:18" s="1" customFormat="1" ht="12.75" customHeight="1">
      <c r="A2" s="158" t="s">
        <v>13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60"/>
      <c r="M2" s="160"/>
      <c r="N2" s="161"/>
      <c r="P2" s="45"/>
      <c r="Q2" s="45"/>
    </row>
    <row r="3" spans="1:18" s="2" customFormat="1" ht="30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4"/>
      <c r="P3" s="46"/>
      <c r="Q3" s="46"/>
    </row>
    <row r="4" spans="1:18" s="2" customFormat="1" ht="17.25" customHeight="1">
      <c r="A4" s="6" t="s">
        <v>14</v>
      </c>
      <c r="B4" s="7"/>
      <c r="C4" s="8" t="s">
        <v>15</v>
      </c>
      <c r="D4" s="9"/>
      <c r="E4" s="10"/>
      <c r="F4" s="10"/>
      <c r="G4" s="10"/>
      <c r="H4" s="11"/>
      <c r="I4" s="47"/>
      <c r="J4" s="48" t="s">
        <v>16</v>
      </c>
      <c r="K4" s="49" t="s">
        <v>17</v>
      </c>
      <c r="L4" s="50"/>
      <c r="M4" s="51" t="s">
        <v>18</v>
      </c>
      <c r="N4" s="52">
        <v>41297</v>
      </c>
      <c r="P4" s="46"/>
      <c r="Q4" s="46"/>
    </row>
    <row r="5" spans="1:18" ht="5.0999999999999996" customHeight="1">
      <c r="A5" s="12"/>
      <c r="B5" s="13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53"/>
      <c r="O5" s="54"/>
    </row>
    <row r="6" spans="1:18" ht="12" customHeight="1">
      <c r="A6" s="6" t="s">
        <v>19</v>
      </c>
      <c r="B6" s="7"/>
      <c r="C6" s="15"/>
      <c r="D6" s="7"/>
      <c r="E6" s="7"/>
      <c r="F6" s="7"/>
      <c r="G6" s="7"/>
      <c r="H6" s="7"/>
      <c r="I6" s="7" t="s">
        <v>20</v>
      </c>
      <c r="J6" s="7"/>
      <c r="K6" s="7"/>
      <c r="L6" s="7"/>
      <c r="M6" s="7"/>
      <c r="N6" s="55"/>
      <c r="O6" s="54"/>
    </row>
    <row r="7" spans="1:18" ht="12" customHeight="1">
      <c r="A7" s="6" t="s">
        <v>21</v>
      </c>
      <c r="B7" s="7"/>
      <c r="C7" s="15"/>
      <c r="D7" s="7"/>
      <c r="E7" s="7"/>
      <c r="F7" s="7"/>
      <c r="G7" s="7"/>
      <c r="H7" s="7"/>
      <c r="I7" s="7" t="s">
        <v>22</v>
      </c>
      <c r="J7" s="7"/>
      <c r="K7" s="7"/>
      <c r="L7" s="7"/>
      <c r="M7" s="7"/>
      <c r="N7" s="55"/>
      <c r="O7" s="54"/>
    </row>
    <row r="8" spans="1:18" ht="12" customHeight="1">
      <c r="A8" s="16" t="s">
        <v>23</v>
      </c>
      <c r="B8" s="17"/>
      <c r="C8" s="18"/>
      <c r="D8" s="17"/>
      <c r="E8" s="17"/>
      <c r="F8" s="17"/>
      <c r="G8" s="17"/>
      <c r="H8" s="17"/>
      <c r="I8" s="17" t="s">
        <v>24</v>
      </c>
      <c r="J8" s="17"/>
      <c r="K8" s="17"/>
      <c r="L8" s="17"/>
      <c r="M8" s="17"/>
      <c r="N8" s="56"/>
      <c r="O8" s="54"/>
    </row>
    <row r="9" spans="1:18" ht="12" customHeight="1">
      <c r="A9" s="16" t="s">
        <v>25</v>
      </c>
      <c r="B9" s="17"/>
      <c r="C9" s="18"/>
      <c r="D9" s="17"/>
      <c r="E9" s="17"/>
      <c r="F9" s="17"/>
      <c r="G9" s="17"/>
      <c r="H9" s="17"/>
      <c r="I9" s="17" t="s">
        <v>26</v>
      </c>
      <c r="J9" s="17"/>
      <c r="K9" s="17"/>
      <c r="L9" s="17"/>
      <c r="M9" s="17"/>
      <c r="N9" s="56"/>
      <c r="O9" s="54"/>
    </row>
    <row r="10" spans="1:18" ht="12" customHeight="1">
      <c r="A10" s="16" t="s">
        <v>27</v>
      </c>
      <c r="B10" s="17"/>
      <c r="C10" s="18"/>
      <c r="D10" s="17"/>
      <c r="E10" s="17"/>
      <c r="F10" s="17"/>
      <c r="G10" s="17"/>
      <c r="H10" s="17"/>
      <c r="I10" s="17" t="s">
        <v>28</v>
      </c>
      <c r="J10" s="17"/>
      <c r="K10" s="17"/>
      <c r="L10" s="17"/>
      <c r="M10" s="17"/>
      <c r="N10" s="56"/>
      <c r="O10" s="54"/>
    </row>
    <row r="11" spans="1:18" ht="12" customHeight="1">
      <c r="A11" s="16" t="s">
        <v>29</v>
      </c>
      <c r="B11" s="17"/>
      <c r="C11" s="18"/>
      <c r="D11" s="17"/>
      <c r="E11" s="17"/>
      <c r="F11" s="17"/>
      <c r="G11" s="17"/>
      <c r="H11" s="17"/>
      <c r="I11" s="17" t="s">
        <v>30</v>
      </c>
      <c r="J11" s="17"/>
      <c r="K11" s="17"/>
      <c r="L11" s="17"/>
      <c r="M11" s="17"/>
      <c r="N11" s="56"/>
      <c r="O11" s="54"/>
    </row>
    <row r="12" spans="1:18" ht="12" customHeight="1">
      <c r="A12" s="16" t="s">
        <v>31</v>
      </c>
      <c r="B12" s="17"/>
      <c r="C12" s="18"/>
      <c r="D12" s="17"/>
      <c r="E12" s="17"/>
      <c r="F12" s="17"/>
      <c r="G12" s="17"/>
      <c r="H12" s="17"/>
      <c r="I12" s="17" t="s">
        <v>32</v>
      </c>
      <c r="J12" s="17"/>
      <c r="K12" s="17"/>
      <c r="L12" s="17"/>
      <c r="M12" s="17"/>
      <c r="N12" s="56"/>
      <c r="O12" s="54"/>
    </row>
    <row r="13" spans="1:18" ht="12" customHeight="1">
      <c r="A13" s="16" t="s">
        <v>33</v>
      </c>
      <c r="B13" s="17"/>
      <c r="C13" s="18"/>
      <c r="D13" s="17"/>
      <c r="E13" s="17"/>
      <c r="F13" s="17"/>
      <c r="G13" s="17"/>
      <c r="H13" s="17"/>
      <c r="I13" s="17" t="s">
        <v>34</v>
      </c>
      <c r="J13" s="17"/>
      <c r="K13" s="17"/>
      <c r="L13" s="17"/>
      <c r="M13" s="17"/>
      <c r="N13" s="56"/>
      <c r="O13" s="54"/>
      <c r="R13" s="54"/>
    </row>
    <row r="14" spans="1:18" ht="12" customHeight="1">
      <c r="A14" s="16" t="s">
        <v>35</v>
      </c>
      <c r="B14" s="17"/>
      <c r="C14" s="18"/>
      <c r="D14" s="17"/>
      <c r="E14" s="17"/>
      <c r="F14" s="17"/>
      <c r="G14" s="17"/>
      <c r="H14" s="17"/>
      <c r="I14" s="17" t="s">
        <v>36</v>
      </c>
      <c r="J14" s="17"/>
      <c r="K14" s="17"/>
      <c r="L14" s="17"/>
      <c r="M14" s="17"/>
      <c r="N14" s="56"/>
      <c r="O14" s="31"/>
    </row>
    <row r="15" spans="1:18" ht="12" customHeight="1">
      <c r="A15" s="16" t="s">
        <v>37</v>
      </c>
      <c r="B15" s="17"/>
      <c r="C15" s="18"/>
      <c r="D15" s="17"/>
      <c r="E15" s="17"/>
      <c r="F15" s="17"/>
      <c r="G15" s="17"/>
      <c r="H15" s="17"/>
      <c r="I15" s="17" t="s">
        <v>38</v>
      </c>
      <c r="J15" s="17"/>
      <c r="K15" s="17"/>
      <c r="L15" s="17"/>
      <c r="M15" s="17"/>
      <c r="N15" s="56"/>
      <c r="O15" s="31"/>
    </row>
    <row r="16" spans="1:18" ht="12" customHeight="1">
      <c r="A16" s="16" t="s">
        <v>39</v>
      </c>
      <c r="B16" s="17"/>
      <c r="C16" s="18"/>
      <c r="D16" s="17"/>
      <c r="E16" s="17"/>
      <c r="F16" s="17"/>
      <c r="G16" s="17"/>
      <c r="H16" s="17"/>
      <c r="I16" s="17" t="s">
        <v>40</v>
      </c>
      <c r="J16" s="17"/>
      <c r="K16" s="17"/>
      <c r="L16" s="17"/>
      <c r="M16" s="17"/>
      <c r="N16" s="56"/>
      <c r="O16" s="31"/>
    </row>
    <row r="17" spans="1:17" ht="12" customHeight="1">
      <c r="A17" s="16" t="s">
        <v>41</v>
      </c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56"/>
      <c r="O17" s="31"/>
    </row>
    <row r="18" spans="1:17" ht="12" customHeight="1">
      <c r="A18" s="16" t="s">
        <v>42</v>
      </c>
      <c r="B18" s="17"/>
      <c r="C18" s="18"/>
      <c r="D18" s="17"/>
      <c r="E18" s="17"/>
      <c r="F18" s="17"/>
      <c r="G18" s="17"/>
      <c r="H18" s="17"/>
      <c r="I18" s="57" t="s">
        <v>43</v>
      </c>
      <c r="J18" s="17"/>
      <c r="K18" s="17"/>
      <c r="L18" s="58"/>
      <c r="M18" s="17"/>
      <c r="N18" s="56"/>
      <c r="O18" s="31"/>
    </row>
    <row r="19" spans="1:17" ht="12" customHeight="1">
      <c r="A19" s="16" t="s">
        <v>44</v>
      </c>
      <c r="B19" s="17"/>
      <c r="C19" s="18"/>
      <c r="D19" s="17"/>
      <c r="E19" s="17"/>
      <c r="F19" s="17"/>
      <c r="G19" s="17"/>
      <c r="H19" s="17"/>
      <c r="I19" s="165" t="s">
        <v>45</v>
      </c>
      <c r="J19" s="165"/>
      <c r="K19" s="165"/>
      <c r="L19" s="166"/>
      <c r="M19" s="17"/>
      <c r="N19" s="56"/>
      <c r="O19" s="31"/>
    </row>
    <row r="20" spans="1:17" ht="12" customHeight="1">
      <c r="A20" s="16"/>
      <c r="B20" s="17"/>
      <c r="C20" s="18"/>
      <c r="D20" s="17"/>
      <c r="E20" s="19"/>
      <c r="F20" s="17"/>
      <c r="G20" s="17"/>
      <c r="H20" s="17"/>
      <c r="I20" s="17" t="s">
        <v>46</v>
      </c>
      <c r="J20" s="17"/>
      <c r="K20" s="17"/>
      <c r="L20" s="58"/>
      <c r="M20" s="17"/>
      <c r="N20" s="56"/>
      <c r="O20" s="31"/>
    </row>
    <row r="21" spans="1:17" ht="12" customHeight="1">
      <c r="A21" s="16"/>
      <c r="B21" s="17"/>
      <c r="C21" s="18"/>
      <c r="D21" s="17"/>
      <c r="E21" s="19"/>
      <c r="F21" s="17"/>
      <c r="G21" s="17"/>
      <c r="H21" s="17"/>
      <c r="I21" s="17" t="s">
        <v>47</v>
      </c>
      <c r="J21" s="17"/>
      <c r="K21" s="17"/>
      <c r="L21" s="58"/>
      <c r="M21" s="17"/>
      <c r="N21" s="56"/>
      <c r="O21" s="31"/>
    </row>
    <row r="22" spans="1:17" ht="14.25" customHeight="1">
      <c r="A22" s="20"/>
      <c r="B22" s="10"/>
      <c r="C22" s="21"/>
      <c r="D22" s="10"/>
      <c r="E22" s="10"/>
      <c r="F22" s="10"/>
      <c r="G22" s="10"/>
      <c r="H22" s="10"/>
      <c r="I22" s="59"/>
      <c r="J22" s="60"/>
      <c r="K22" s="60"/>
      <c r="L22" s="17"/>
      <c r="M22" s="17"/>
      <c r="N22" s="56"/>
      <c r="O22" s="31"/>
    </row>
    <row r="23" spans="1:17" s="3" customFormat="1" ht="12" customHeight="1">
      <c r="A23" s="150" t="s">
        <v>48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2"/>
      <c r="O23" s="62"/>
      <c r="P23" s="63"/>
      <c r="Q23" s="63"/>
    </row>
    <row r="24" spans="1:17" s="3" customFormat="1" ht="12" customHeight="1">
      <c r="A24" s="150" t="s">
        <v>49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2"/>
      <c r="O24" s="62"/>
      <c r="P24" s="63"/>
      <c r="Q24" s="63"/>
    </row>
    <row r="25" spans="1:17" s="3" customFormat="1" ht="12" customHeight="1">
      <c r="A25" s="6" t="s">
        <v>50</v>
      </c>
      <c r="B25" s="10"/>
      <c r="C25" s="2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61"/>
      <c r="O25" s="31"/>
      <c r="P25" s="63"/>
      <c r="Q25" s="63"/>
    </row>
    <row r="26" spans="1:17" s="3" customFormat="1" ht="12" customHeight="1">
      <c r="A26" s="6" t="s">
        <v>51</v>
      </c>
      <c r="B26" s="10"/>
      <c r="C26" s="2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61"/>
      <c r="O26" s="31"/>
      <c r="P26" s="63"/>
      <c r="Q26" s="63"/>
    </row>
    <row r="27" spans="1:17" ht="8.25" customHeight="1">
      <c r="A27" s="22"/>
      <c r="B27" s="23"/>
      <c r="C27" s="24"/>
      <c r="D27" s="23"/>
      <c r="E27" s="23"/>
      <c r="F27" s="23"/>
      <c r="G27" s="23"/>
      <c r="H27" s="23"/>
      <c r="I27" s="23"/>
      <c r="J27" s="23"/>
      <c r="K27" s="23"/>
      <c r="L27" s="23"/>
      <c r="M27" s="64"/>
      <c r="N27" s="65"/>
    </row>
    <row r="28" spans="1:17" s="3" customFormat="1" ht="39.950000000000003" customHeight="1">
      <c r="A28" s="25" t="s">
        <v>1</v>
      </c>
      <c r="B28" s="25" t="s">
        <v>2</v>
      </c>
      <c r="C28" s="25" t="s">
        <v>52</v>
      </c>
      <c r="D28" s="25" t="s">
        <v>53</v>
      </c>
      <c r="E28" s="25" t="s">
        <v>4</v>
      </c>
      <c r="F28" s="26" t="s">
        <v>54</v>
      </c>
      <c r="G28" s="26" t="s">
        <v>5</v>
      </c>
      <c r="H28" s="26" t="s">
        <v>55</v>
      </c>
      <c r="I28" s="25" t="s">
        <v>56</v>
      </c>
      <c r="J28" s="25" t="s">
        <v>6</v>
      </c>
      <c r="K28" s="25" t="s">
        <v>57</v>
      </c>
      <c r="L28" s="25" t="s">
        <v>58</v>
      </c>
      <c r="M28" s="66" t="s">
        <v>59</v>
      </c>
      <c r="N28" s="66" t="s">
        <v>9</v>
      </c>
      <c r="O28" s="67"/>
      <c r="P28" s="63"/>
      <c r="Q28" s="63"/>
    </row>
    <row r="29" spans="1:17" ht="28.5" customHeight="1">
      <c r="A29" s="27">
        <v>1</v>
      </c>
      <c r="B29" s="27">
        <v>8712003000</v>
      </c>
      <c r="C29" s="28" t="s">
        <v>60</v>
      </c>
      <c r="D29" s="29" t="s">
        <v>61</v>
      </c>
      <c r="E29" s="29" t="s">
        <v>62</v>
      </c>
      <c r="F29" s="29" t="s">
        <v>63</v>
      </c>
      <c r="G29" s="30" t="s">
        <v>64</v>
      </c>
      <c r="H29" s="29" t="s">
        <v>65</v>
      </c>
      <c r="I29" s="68">
        <v>10</v>
      </c>
      <c r="J29" s="69">
        <v>10</v>
      </c>
      <c r="K29" s="70">
        <v>136</v>
      </c>
      <c r="L29" s="71">
        <v>112.88</v>
      </c>
      <c r="M29" s="72">
        <v>24.27</v>
      </c>
      <c r="N29" s="73">
        <f t="shared" ref="N29" si="0">I29*M29</f>
        <v>242.7</v>
      </c>
      <c r="O29" s="74"/>
      <c r="Q29" s="87"/>
    </row>
    <row r="30" spans="1:17" ht="27.75" customHeight="1">
      <c r="A30" s="27">
        <v>2</v>
      </c>
      <c r="B30" s="27">
        <v>8712003000</v>
      </c>
      <c r="C30" s="28" t="s">
        <v>60</v>
      </c>
      <c r="D30" s="29" t="s">
        <v>61</v>
      </c>
      <c r="E30" s="29" t="s">
        <v>66</v>
      </c>
      <c r="F30" s="29" t="s">
        <v>63</v>
      </c>
      <c r="G30" s="30" t="s">
        <v>64</v>
      </c>
      <c r="H30" s="29" t="s">
        <v>65</v>
      </c>
      <c r="I30" s="68">
        <v>30</v>
      </c>
      <c r="J30" s="69">
        <v>30</v>
      </c>
      <c r="K30" s="70">
        <v>556</v>
      </c>
      <c r="L30" s="71">
        <v>461.48</v>
      </c>
      <c r="M30" s="72">
        <v>33.07</v>
      </c>
      <c r="N30" s="73">
        <f>I30*M30</f>
        <v>992.1</v>
      </c>
      <c r="O30" s="74"/>
      <c r="Q30" s="87"/>
    </row>
    <row r="31" spans="1:17" ht="27.75" customHeight="1">
      <c r="A31" s="27">
        <v>3</v>
      </c>
      <c r="B31" s="27">
        <v>8712003000</v>
      </c>
      <c r="C31" s="28" t="s">
        <v>60</v>
      </c>
      <c r="D31" s="29" t="s">
        <v>61</v>
      </c>
      <c r="E31" s="29" t="s">
        <v>67</v>
      </c>
      <c r="F31" s="29" t="s">
        <v>63</v>
      </c>
      <c r="G31" s="30" t="s">
        <v>64</v>
      </c>
      <c r="H31" s="29" t="s">
        <v>65</v>
      </c>
      <c r="I31" s="68">
        <v>244</v>
      </c>
      <c r="J31" s="69">
        <v>244</v>
      </c>
      <c r="K31" s="70">
        <v>4436</v>
      </c>
      <c r="L31" s="71">
        <v>3681.88</v>
      </c>
      <c r="M31" s="72">
        <v>32.44</v>
      </c>
      <c r="N31" s="73">
        <f>I31*M31</f>
        <v>7915.36</v>
      </c>
      <c r="O31" s="74"/>
      <c r="Q31" s="87"/>
    </row>
    <row r="32" spans="1:17" ht="15.75">
      <c r="A32" s="27"/>
      <c r="B32" s="27"/>
      <c r="C32" s="27"/>
      <c r="D32" s="27"/>
      <c r="E32" s="27"/>
      <c r="F32" s="153" t="s">
        <v>10</v>
      </c>
      <c r="G32" s="153"/>
      <c r="H32" s="153"/>
      <c r="I32" s="75">
        <f t="shared" ref="I32" si="1">SUM(I29:I31)</f>
        <v>284</v>
      </c>
      <c r="J32" s="75">
        <f>SUM(J29:J31)</f>
        <v>284</v>
      </c>
      <c r="K32" s="76">
        <f>SUM(K29:K31)</f>
        <v>5128</v>
      </c>
      <c r="L32" s="76">
        <f>SUM(L29:L31)</f>
        <v>4256.24</v>
      </c>
      <c r="M32" s="77"/>
      <c r="N32" s="77">
        <f>SUM(N29:N31)</f>
        <v>9150.16</v>
      </c>
      <c r="O32" s="74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78"/>
      <c r="L33" s="79"/>
      <c r="M33" s="78"/>
      <c r="N33" s="78"/>
    </row>
    <row r="34" spans="1:14">
      <c r="A34" s="9"/>
      <c r="B34" s="9"/>
      <c r="C34" s="31"/>
      <c r="D34" s="9"/>
      <c r="E34" s="9"/>
      <c r="F34" s="9"/>
      <c r="G34" s="9"/>
      <c r="H34" s="9"/>
      <c r="I34" s="9"/>
      <c r="J34" s="9"/>
      <c r="K34" s="9"/>
      <c r="L34" s="9"/>
      <c r="M34" s="80"/>
      <c r="N34" s="80"/>
    </row>
    <row r="35" spans="1:14">
      <c r="A35" s="32"/>
      <c r="B35" s="33"/>
      <c r="C35" s="34"/>
      <c r="D35" s="35"/>
      <c r="E35" s="36"/>
      <c r="F35" s="32"/>
      <c r="G35" s="32"/>
      <c r="H35" s="32"/>
      <c r="I35" s="81"/>
      <c r="J35" s="81"/>
      <c r="K35" s="32"/>
      <c r="L35" s="32"/>
      <c r="M35" s="82"/>
      <c r="N35" s="82"/>
    </row>
    <row r="36" spans="1:14">
      <c r="A36" s="32"/>
      <c r="B36" s="33"/>
      <c r="C36" s="34"/>
      <c r="D36" s="35"/>
      <c r="E36" s="37"/>
      <c r="F36" s="32"/>
      <c r="G36" s="32"/>
      <c r="H36" s="32"/>
      <c r="I36" s="81"/>
      <c r="J36" s="81"/>
      <c r="K36" s="32"/>
      <c r="L36" s="33"/>
      <c r="M36" s="33"/>
      <c r="N36" s="82"/>
    </row>
    <row r="37" spans="1:14">
      <c r="A37" s="32"/>
      <c r="B37" s="33"/>
      <c r="C37" s="38"/>
      <c r="D37" s="39"/>
      <c r="E37" s="37"/>
      <c r="F37" s="32"/>
      <c r="G37" s="32"/>
      <c r="H37" s="32"/>
      <c r="I37" s="83"/>
      <c r="J37" s="82"/>
      <c r="K37" s="32"/>
      <c r="L37" s="32"/>
      <c r="M37" s="82"/>
      <c r="N37" s="82"/>
    </row>
    <row r="38" spans="1:14">
      <c r="A38" s="32"/>
      <c r="B38" s="33"/>
      <c r="C38" s="34"/>
      <c r="D38" s="35"/>
      <c r="E38" s="37"/>
      <c r="F38" s="32"/>
      <c r="G38" s="32"/>
      <c r="H38" s="32"/>
      <c r="I38" s="83"/>
      <c r="J38" s="84"/>
      <c r="K38" s="32"/>
      <c r="L38" s="32"/>
      <c r="M38" s="82"/>
      <c r="N38" s="82"/>
    </row>
    <row r="39" spans="1:14">
      <c r="A39" s="32"/>
      <c r="B39" s="32"/>
      <c r="C39" s="38"/>
      <c r="D39" s="39"/>
      <c r="E39" s="9"/>
      <c r="F39" s="32"/>
      <c r="G39" s="32"/>
      <c r="H39" s="32"/>
      <c r="I39" s="83"/>
      <c r="J39" s="82"/>
      <c r="K39" s="32"/>
      <c r="L39" s="33"/>
      <c r="M39" s="82"/>
      <c r="N39" s="82"/>
    </row>
    <row r="40" spans="1:14">
      <c r="A40" s="32"/>
      <c r="B40" s="32"/>
      <c r="C40" s="31"/>
      <c r="D40" s="9"/>
      <c r="E40" s="9"/>
      <c r="F40" s="32"/>
      <c r="G40" s="32"/>
      <c r="H40" s="32"/>
      <c r="I40" s="32"/>
      <c r="J40" s="32"/>
      <c r="K40" s="32"/>
      <c r="L40" s="32"/>
      <c r="M40" s="82"/>
      <c r="N40" s="82"/>
    </row>
    <row r="41" spans="1:14" ht="16.5" customHeight="1">
      <c r="A41" s="32"/>
      <c r="B41" s="40"/>
      <c r="C41" s="41"/>
      <c r="D41" s="42"/>
      <c r="E41" s="42"/>
      <c r="F41" s="40"/>
      <c r="G41" s="40"/>
      <c r="H41" s="40"/>
      <c r="I41" s="85"/>
      <c r="J41" s="85"/>
      <c r="K41" s="32"/>
      <c r="L41" s="32"/>
      <c r="M41" s="82"/>
      <c r="N41" s="82"/>
    </row>
    <row r="42" spans="1:14" ht="25.5" customHeight="1">
      <c r="A42" s="32"/>
      <c r="B42" s="43" t="s">
        <v>68</v>
      </c>
      <c r="C42" s="41"/>
      <c r="D42" s="42"/>
      <c r="E42" s="42"/>
      <c r="F42" s="40"/>
      <c r="G42" s="44" t="s">
        <v>69</v>
      </c>
      <c r="H42" s="40"/>
      <c r="I42" s="40"/>
      <c r="J42" s="40"/>
      <c r="K42" s="32"/>
      <c r="L42" s="32"/>
      <c r="M42" s="82"/>
      <c r="N42" s="82"/>
    </row>
    <row r="43" spans="1:14">
      <c r="A43" s="32"/>
      <c r="B43" s="40"/>
      <c r="C43" s="41"/>
      <c r="D43" s="42"/>
      <c r="E43" s="42"/>
      <c r="F43" s="40"/>
      <c r="G43" s="40"/>
      <c r="H43" s="40"/>
      <c r="I43" s="40"/>
      <c r="J43" s="40"/>
      <c r="K43" s="32"/>
      <c r="L43" s="32"/>
      <c r="M43" s="82"/>
      <c r="N43" s="82"/>
    </row>
    <row r="44" spans="1:14">
      <c r="A44" s="32"/>
      <c r="B44" s="32"/>
      <c r="D44" s="32"/>
      <c r="E44" s="32"/>
      <c r="F44" s="32"/>
      <c r="G44" s="32"/>
      <c r="H44" s="32"/>
      <c r="I44" s="32"/>
      <c r="J44" s="32"/>
      <c r="K44" s="32"/>
      <c r="L44" s="32"/>
      <c r="M44" s="82"/>
      <c r="N44" s="82"/>
    </row>
    <row r="45" spans="1:14">
      <c r="I45" s="86"/>
      <c r="J45" s="86"/>
      <c r="K45" s="86"/>
      <c r="L45" s="86"/>
      <c r="M45" s="86"/>
    </row>
  </sheetData>
  <mergeCells count="7">
    <mergeCell ref="A24:N24"/>
    <mergeCell ref="F32:H32"/>
    <mergeCell ref="A1:N1"/>
    <mergeCell ref="A2:N2"/>
    <mergeCell ref="A3:N3"/>
    <mergeCell ref="I19:L19"/>
    <mergeCell ref="A23:N23"/>
  </mergeCells>
  <pageMargins left="0.39305555555555599" right="0.235416666666667" top="0.118055555555556" bottom="0.39305555555555599" header="0.118055555555556" footer="0.235416666666667"/>
  <pageSetup paperSize="9" scale="65" fitToHeight="0" orientation="landscape" r:id="rId1"/>
  <headerFooter alignWithMargins="0">
    <oddFooter>&amp;CPage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инвойс-спецификaция</vt:lpstr>
      <vt:lpstr>Спецификация</vt:lpstr>
      <vt:lpstr>'инвойс-спецификaция'!Область_печати</vt:lpstr>
      <vt:lpstr>Спецификация!Область_печати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</dc:creator>
  <cp:lastModifiedBy>User005</cp:lastModifiedBy>
  <cp:lastPrinted>2015-09-21T03:13:31Z</cp:lastPrinted>
  <dcterms:created xsi:type="dcterms:W3CDTF">2012-09-10T07:05:00Z</dcterms:created>
  <dcterms:modified xsi:type="dcterms:W3CDTF">2021-09-28T14:41:50Z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