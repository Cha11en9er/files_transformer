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mc:AlternateContent xmlns:mc="http://schemas.openxmlformats.org/markup-compatibility/2006">
    <mc:Choice Requires="x15">
      <x15ac:absPath xmlns:x15ac="http://schemas.microsoft.com/office/spreadsheetml/2010/11/ac" url="X:\ТАМОЖНЯ\документы прямые\ВИТОРИЯ\17583 GAOMI YATAN\Декларанту\"/>
    </mc:Choice>
  </mc:AlternateContent>
  <xr:revisionPtr revIDLastSave="0" documentId="13_ncr:1_{176F1F7B-EB07-4CCA-B0EE-0B8F8DBB8A45}" xr6:coauthVersionLast="46" xr6:coauthVersionMax="46" xr10:uidLastSave="{00000000-0000-0000-0000-000000000000}"/>
  <bookViews>
    <workbookView xWindow="-120" yWindow="-120" windowWidth="29040" windowHeight="15840" xr2:uid="{00000000-000D-0000-FFFF-FFFF00000000}"/>
  </bookViews>
  <sheets>
    <sheet name="Page 1" sheetId="1" r:id="rId1"/>
    <sheet name="Page 2" sheetId="2" r:id="rId2"/>
    <sheet name="Page 3" sheetId="3" r:id="rId3"/>
    <sheet name="Лист1" sheetId="4" r:id="rId4"/>
  </sheets>
  <definedNames>
    <definedName name="_xlnm._FilterDatabase" localSheetId="0" hidden="1">'Page 1'!$A$3:$AW$11</definedName>
    <definedName name="_xlnm.Print_Area" localSheetId="0">'Page 1'!$A$1:$AL$36</definedName>
  </definedNames>
  <calcPr calcId="191029"/>
</workbook>
</file>

<file path=xl/calcChain.xml><?xml version="1.0" encoding="utf-8"?>
<calcChain xmlns="http://schemas.openxmlformats.org/spreadsheetml/2006/main">
  <c r="AW8" i="1" l="1"/>
  <c r="AC8" i="1" l="1"/>
  <c r="K9" i="1" l="1"/>
  <c r="AE6" i="1" l="1"/>
  <c r="AE7" i="1"/>
  <c r="AE5" i="1"/>
  <c r="AF7" i="1" l="1"/>
  <c r="AK7" i="1"/>
  <c r="AF6" i="1"/>
  <c r="AK6" i="1"/>
  <c r="AI7" i="1"/>
  <c r="AI6" i="1"/>
  <c r="AB4" i="1"/>
  <c r="AE4" i="1" s="1"/>
  <c r="AF4" i="1" l="1"/>
  <c r="AI4" i="1"/>
  <c r="AF5" i="1"/>
  <c r="AK5" i="1"/>
  <c r="AI5" i="1"/>
  <c r="AE8" i="1" l="1"/>
  <c r="AF8" i="1"/>
  <c r="H36" i="4" l="1"/>
  <c r="E41" i="4"/>
  <c r="D36" i="4"/>
  <c r="E36" i="4"/>
  <c r="E43" i="4" s="1"/>
  <c r="N3" i="4"/>
  <c r="O3" i="4" s="1"/>
  <c r="N4" i="4"/>
  <c r="O4" i="4" s="1"/>
  <c r="N5" i="4"/>
  <c r="O5" i="4" s="1"/>
  <c r="N6" i="4"/>
  <c r="O6" i="4" s="1"/>
  <c r="N7" i="4"/>
  <c r="O7" i="4" s="1"/>
  <c r="N8" i="4"/>
  <c r="O8" i="4" s="1"/>
  <c r="N9" i="4"/>
  <c r="O9" i="4" s="1"/>
  <c r="N10" i="4"/>
  <c r="O10" i="4" s="1"/>
  <c r="N11" i="4"/>
  <c r="O11" i="4" s="1"/>
  <c r="N12" i="4"/>
  <c r="O12" i="4" s="1"/>
  <c r="N13" i="4"/>
  <c r="O13" i="4" s="1"/>
  <c r="N14" i="4"/>
  <c r="O14" i="4" s="1"/>
  <c r="N15" i="4"/>
  <c r="O15" i="4" s="1"/>
  <c r="N16" i="4"/>
  <c r="O16" i="4" s="1"/>
  <c r="N17" i="4"/>
  <c r="O17" i="4" s="1"/>
  <c r="N18" i="4"/>
  <c r="O18" i="4" s="1"/>
  <c r="N19" i="4"/>
  <c r="O19" i="4" s="1"/>
  <c r="N20" i="4"/>
  <c r="O20" i="4" s="1"/>
  <c r="N21" i="4"/>
  <c r="O21" i="4" s="1"/>
  <c r="N22" i="4"/>
  <c r="O22" i="4" s="1"/>
  <c r="N23" i="4"/>
  <c r="O23" i="4" s="1"/>
  <c r="N24" i="4"/>
  <c r="O24" i="4" s="1"/>
  <c r="N25" i="4"/>
  <c r="O25" i="4" s="1"/>
  <c r="N26" i="4"/>
  <c r="O26" i="4" s="1"/>
  <c r="N27" i="4"/>
  <c r="O27" i="4" s="1"/>
  <c r="N28" i="4"/>
  <c r="O28" i="4" s="1"/>
  <c r="N29" i="4"/>
  <c r="O29" i="4" s="1"/>
  <c r="N30" i="4"/>
  <c r="O30" i="4" s="1"/>
  <c r="N31" i="4"/>
  <c r="O31" i="4" s="1"/>
  <c r="N32" i="4"/>
  <c r="O32" i="4" s="1"/>
  <c r="N33" i="4"/>
  <c r="O33" i="4" s="1"/>
  <c r="N34" i="4"/>
  <c r="O34" i="4" s="1"/>
  <c r="N2" i="4"/>
  <c r="O2" i="4" s="1"/>
  <c r="AQ5" i="1"/>
  <c r="AQ6" i="1"/>
  <c r="AQ7" i="1"/>
  <c r="AQ4" i="1"/>
  <c r="N25" i="2"/>
  <c r="N24" i="2"/>
  <c r="N23" i="2"/>
  <c r="N22" i="2"/>
  <c r="N21" i="2"/>
  <c r="N20" i="2"/>
  <c r="N19" i="2"/>
  <c r="N18" i="2"/>
  <c r="N17" i="2"/>
  <c r="N16" i="2"/>
  <c r="N15" i="2"/>
  <c r="N14" i="2"/>
  <c r="N13" i="2"/>
  <c r="N12" i="2"/>
  <c r="N11" i="2"/>
  <c r="N10" i="2"/>
  <c r="N9" i="2"/>
  <c r="N8" i="2"/>
  <c r="N7" i="2"/>
  <c r="N6" i="2"/>
  <c r="N5" i="2"/>
  <c r="N4" i="2"/>
  <c r="N3" i="2"/>
  <c r="N25" i="3"/>
  <c r="N24" i="3"/>
  <c r="N23" i="3"/>
  <c r="N22" i="3"/>
  <c r="N21" i="3"/>
  <c r="N20" i="3"/>
  <c r="N19" i="3"/>
  <c r="N18" i="3"/>
  <c r="N17" i="3"/>
  <c r="N16" i="3"/>
  <c r="N15" i="3"/>
  <c r="N14" i="3"/>
  <c r="N13" i="3"/>
  <c r="N12" i="3"/>
  <c r="N11" i="3"/>
  <c r="N10" i="3"/>
  <c r="N9" i="3"/>
  <c r="N8" i="3"/>
  <c r="N7" i="3"/>
  <c r="N6" i="3"/>
  <c r="N5" i="3"/>
  <c r="N4" i="3"/>
  <c r="N3" i="3"/>
  <c r="E42" i="4" l="1"/>
  <c r="AU4" i="1"/>
  <c r="AU5" i="1"/>
  <c r="AU7" i="1"/>
  <c r="AU6" i="1"/>
  <c r="AR5" i="1"/>
  <c r="AN6" i="1"/>
  <c r="AP6" i="1"/>
  <c r="AR6" i="1"/>
  <c r="AP5" i="1"/>
  <c r="AN5" i="1"/>
  <c r="AP7" i="1"/>
  <c r="AN7" i="1"/>
  <c r="AR7" i="1"/>
  <c r="AP4" i="1"/>
  <c r="AR4" i="1"/>
  <c r="AN4" i="1"/>
  <c r="I14" i="4" l="1"/>
  <c r="L14" i="4" s="1"/>
  <c r="I30" i="4"/>
  <c r="L30" i="4" s="1"/>
  <c r="I15" i="4"/>
  <c r="L15" i="4" s="1"/>
  <c r="I31" i="4"/>
  <c r="L31" i="4" s="1"/>
  <c r="I16" i="4"/>
  <c r="L16" i="4" s="1"/>
  <c r="I32" i="4"/>
  <c r="L32" i="4" s="1"/>
  <c r="I17" i="4"/>
  <c r="L17" i="4" s="1"/>
  <c r="I33" i="4"/>
  <c r="L33" i="4" s="1"/>
  <c r="I18" i="4"/>
  <c r="L18" i="4" s="1"/>
  <c r="I34" i="4"/>
  <c r="L34" i="4" s="1"/>
  <c r="I3" i="4"/>
  <c r="L3" i="4" s="1"/>
  <c r="I19" i="4"/>
  <c r="L19" i="4" s="1"/>
  <c r="I2" i="4"/>
  <c r="I28" i="4"/>
  <c r="L28" i="4" s="1"/>
  <c r="I4" i="4"/>
  <c r="L4" i="4" s="1"/>
  <c r="I20" i="4"/>
  <c r="L20" i="4" s="1"/>
  <c r="I29" i="4"/>
  <c r="L29" i="4" s="1"/>
  <c r="I5" i="4"/>
  <c r="L5" i="4" s="1"/>
  <c r="I21" i="4"/>
  <c r="L21" i="4" s="1"/>
  <c r="I6" i="4"/>
  <c r="L6" i="4" s="1"/>
  <c r="I22" i="4"/>
  <c r="L22" i="4" s="1"/>
  <c r="I7" i="4"/>
  <c r="L7" i="4" s="1"/>
  <c r="I23" i="4"/>
  <c r="L23" i="4" s="1"/>
  <c r="I8" i="4"/>
  <c r="L8" i="4" s="1"/>
  <c r="I24" i="4"/>
  <c r="L24" i="4" s="1"/>
  <c r="I12" i="4"/>
  <c r="L12" i="4" s="1"/>
  <c r="I9" i="4"/>
  <c r="L9" i="4" s="1"/>
  <c r="I25" i="4"/>
  <c r="L25" i="4" s="1"/>
  <c r="I10" i="4"/>
  <c r="L10" i="4" s="1"/>
  <c r="I26" i="4"/>
  <c r="L26" i="4" s="1"/>
  <c r="I13" i="4"/>
  <c r="L13" i="4" s="1"/>
  <c r="I11" i="4"/>
  <c r="L11" i="4" s="1"/>
  <c r="I27" i="4"/>
  <c r="L27" i="4" s="1"/>
  <c r="I36" i="4" l="1"/>
  <c r="L2" i="4"/>
  <c r="L36" i="4" s="1"/>
  <c r="L37" i="4" s="1"/>
  <c r="I40" i="4" l="1"/>
  <c r="I41" i="4" s="1"/>
  <c r="I42" i="4" s="1"/>
  <c r="I37" i="4"/>
  <c r="AB8" i="1" l="1"/>
  <c r="AD8" i="1"/>
  <c r="AR8" i="1"/>
  <c r="AN8" i="1"/>
  <c r="AP8" i="1"/>
  <c r="AU8" i="1"/>
  <c r="AI8" i="1"/>
  <c r="AN9" i="1" l="1"/>
</calcChain>
</file>

<file path=xl/sharedStrings.xml><?xml version="1.0" encoding="utf-8"?>
<sst xmlns="http://schemas.openxmlformats.org/spreadsheetml/2006/main" count="121" uniqueCount="87">
  <si>
    <t>Style</t>
  </si>
  <si>
    <t>Sole</t>
  </si>
  <si>
    <t>Price</t>
  </si>
  <si>
    <t>Total</t>
  </si>
  <si>
    <t xml:space="preserve">
Manufacturer, name and characteristics of the goods/Производитель, наименование и характеристики товара</t>
  </si>
  <si>
    <t>HS code / Код
гармонизированно
й системы</t>
  </si>
  <si>
    <t>Customs code /
Таможенный код</t>
  </si>
  <si>
    <t xml:space="preserve">
Lining/Подкладка</t>
  </si>
  <si>
    <t>Insole/Стелька</t>
  </si>
  <si>
    <t xml:space="preserve">
Sole/Подошва</t>
  </si>
  <si>
    <t>COLOR/Цвет</t>
  </si>
  <si>
    <t>Gender/Пол</t>
  </si>
  <si>
    <t>Type of shoes/Вид обуви</t>
  </si>
  <si>
    <t xml:space="preserve">
Delivery conditions/Условия поставки</t>
  </si>
  <si>
    <t>Total/Итого</t>
  </si>
  <si>
    <t>TOTAL/Итого</t>
  </si>
  <si>
    <t>Nautral leather/нат. кожа</t>
  </si>
  <si>
    <t>textile/текстиль</t>
  </si>
  <si>
    <t xml:space="preserve">
rubber/резина</t>
  </si>
  <si>
    <t>black/чёрный</t>
  </si>
  <si>
    <t xml:space="preserve">
boots/ботинки</t>
  </si>
  <si>
    <t>Model/Модель</t>
  </si>
  <si>
    <t>upper material/Материал верха</t>
  </si>
  <si>
    <t>Articul/Артикул</t>
  </si>
  <si>
    <t>Gross weight kg/ Брутто вес кг</t>
  </si>
  <si>
    <t>Net weight kg/Нетто вес кг 1 pair/пара</t>
  </si>
  <si>
    <t>Gross weight kg/ Брутто вес кг 1 pair/пара</t>
  </si>
  <si>
    <t xml:space="preserve">Net weight kg/Нетто вес кг </t>
  </si>
  <si>
    <t>Net weight kg/Нетто вес кг 1 pair/пара with box с коробкой</t>
  </si>
  <si>
    <t>Net weight kg/Нетто вес кг with box с коробкой</t>
  </si>
  <si>
    <t>Продавец:</t>
  </si>
  <si>
    <t>Покупатель:</t>
  </si>
  <si>
    <t>ООО «Виториа»</t>
  </si>
  <si>
    <t xml:space="preserve"> Адрес 125183, г. Москва, ул.Б.Академическая, д. 79,к.3,кв.7 </t>
  </si>
  <si>
    <t>ИНН7743162195</t>
  </si>
  <si>
    <t>Генеральный директор__________________________________ Позднышева Н.А.</t>
  </si>
  <si>
    <t>men/мужская</t>
  </si>
  <si>
    <t>unlined with metal cup/без подкладки с металлическим стаканом</t>
  </si>
  <si>
    <t>Terms payment: 100% prepayment before shipment.</t>
  </si>
  <si>
    <t xml:space="preserve">
boots/полуботинки</t>
  </si>
  <si>
    <t>пар</t>
  </si>
  <si>
    <t>код</t>
  </si>
  <si>
    <t>модель</t>
  </si>
  <si>
    <t>брутто</t>
  </si>
  <si>
    <t>USD</t>
  </si>
  <si>
    <t>CNY</t>
  </si>
  <si>
    <t>пошлина</t>
  </si>
  <si>
    <t>НДС</t>
  </si>
  <si>
    <t>Дата</t>
  </si>
  <si>
    <t>EUR</t>
  </si>
  <si>
    <t>Ст-ть, USD</t>
  </si>
  <si>
    <t>RUB</t>
  </si>
  <si>
    <t>Сборы</t>
  </si>
  <si>
    <t>Агентские</t>
  </si>
  <si>
    <t>Транспорт</t>
  </si>
  <si>
    <t>руб</t>
  </si>
  <si>
    <t>места</t>
  </si>
  <si>
    <t>КУРС</t>
  </si>
  <si>
    <t xml:space="preserve">Container </t>
  </si>
  <si>
    <t>Volume/Объем м3 m3</t>
  </si>
  <si>
    <t>Box/короба</t>
  </si>
  <si>
    <t>full grain pu lining with metal cup/c подкладкой из экокожи с металлическим стаканом</t>
  </si>
  <si>
    <t>GAOMI MODERN SHOES CO., LTD</t>
  </si>
  <si>
    <t>Telephone: 00-86-536-2628817</t>
  </si>
  <si>
    <t xml:space="preserve">Банк: : JSC ROSSELKHOZBANK   </t>
  </si>
  <si>
    <t>Номер счета:40702156763840000035</t>
  </si>
  <si>
    <t xml:space="preserve">CВИФТ: RUAGRUMMXXX </t>
  </si>
  <si>
    <t>SWIFT: RFBKCNBJ</t>
  </si>
  <si>
    <t>Bank: JINAN RURAL COMMERCIAL BANK CO., LTD</t>
  </si>
  <si>
    <t>Account no:9070107500142050028196</t>
  </si>
  <si>
    <t xml:space="preserve">Managing director:                                                                </t>
  </si>
  <si>
    <t>CONTRACT №27/08 dd 03.09.2025</t>
  </si>
  <si>
    <t>amount, ¥/Сумма, CNY</t>
  </si>
  <si>
    <t>Price per pair, ¥/Цена за пару, CNY</t>
  </si>
  <si>
    <t>REGENT</t>
  </si>
  <si>
    <t>ALFRED</t>
  </si>
  <si>
    <t>BARON</t>
  </si>
  <si>
    <t>STAG</t>
  </si>
  <si>
    <t>Volume CBM/объем м3</t>
  </si>
  <si>
    <t>Обувь, со стелькой 24 см и более, не закрывающие лодыжку, на подошве из резины и с верхом из натуральной кожи, мужские: полуботинки, цвет черный, с подкладкой из экокожи, с защитным металлическим подноском. Производитель Gaomi Modern Shoes Co., Ltd. Марка AIRBOX. Китай.
Footwear, with an insole of 24 cm or more, not covering the ankle, with a rubber sole and a genuine leather upper, man:low shoes, black color, with eco-leather lining, with a protective metal toe cap. Manufacturer Gaomi Modern Shoes Co. Brand AIRBOX. China.</t>
  </si>
  <si>
    <t>Обувь, закрывающая лодыжку, но не часть икры, со стелькой 24 см и более,  на подошве из резины и с верхом из натуральной кожи, мужские: ботинки , цвет черный, без подкладки, с защитным металлическим подноском. Производитель Gaomi Modern Shoes Co., Ltd. Марка AIRBOX. Китай. Footwear covering the ankle, but not part of the calf, with an insole of 24 cm or more, with a rubber sole and a genuine leather upper, man: boots, black, lined with faux fur, with a protective metal toe cap.. Manufacturer Modern Shoes Co., Ltd. Brand AIRBOX. China.</t>
  </si>
  <si>
    <t>Net weight with box kg/ Общий Нетто вес кг с коробкой</t>
  </si>
  <si>
    <t>Price per pair, rub/Цена Цена за пару, руб</t>
  </si>
  <si>
    <t>amount,rub /Сумма,руб</t>
  </si>
  <si>
    <t>EXW GAOMI, SHANDONG Китай</t>
  </si>
  <si>
    <t>Address: NO.1,MIDDLE OF ZHOUYANG ROAD, MISHUI DISTRICT,GAOMI SHANDONG,CHINA</t>
  </si>
  <si>
    <t>Total amount, CNY,  GAOMI, SHANDONG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</si>
</sst>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6" x14ac:knownFonts="1">
    <font>
      <sz val="10"/>
      <name val="Arial"/>
    </font>
    <font>
      <b/>
      <sz val="10"/>
      <name val="Arial"/>
      <family val="2"/>
    </font>
    <font>
      <sz val="10"/>
      <name val="Arial"/>
      <family val="2"/>
      <charset val="204"/>
    </font>
    <font>
      <sz val="8"/>
      <name val="Arial"/>
      <family val="2"/>
      <charset val="204"/>
    </font>
    <font>
      <b/>
      <sz val="11"/>
      <name val="Arial"/>
      <family val="2"/>
      <charset val="204"/>
    </font>
    <font>
      <b/>
      <sz val="10"/>
      <name val="Times New Roman"/>
      <family val="1"/>
      <charset val="204"/>
    </font>
    <font>
      <sz val="10"/>
      <name val="Times New Roman"/>
      <family val="1"/>
      <charset val="204"/>
    </font>
    <font>
      <b/>
      <sz val="12"/>
      <name val="Times New Roman"/>
      <family val="1"/>
      <charset val="204"/>
    </font>
    <font>
      <sz val="12"/>
      <name val="Times New Roman"/>
      <family val="1"/>
      <charset val="204"/>
    </font>
    <font>
      <sz val="12"/>
      <name val="Arial"/>
      <family val="2"/>
      <charset val="204"/>
    </font>
    <font>
      <b/>
      <sz val="10"/>
      <name val="Arial"/>
      <family val="2"/>
      <charset val="204"/>
    </font>
    <font>
      <sz val="10"/>
      <color theme="1"/>
      <name val="Arial"/>
      <family val="2"/>
      <charset val="204"/>
    </font>
    <font>
      <sz val="8"/>
      <color theme="1"/>
      <name val="Arial"/>
      <family val="2"/>
      <charset val="204"/>
    </font>
    <font>
      <b/>
      <sz val="12"/>
      <color theme="1"/>
      <name val="Arial"/>
      <family val="2"/>
      <charset val="204"/>
    </font>
    <font>
      <b/>
      <sz val="12"/>
      <color theme="1"/>
      <name val="Times New Roman"/>
      <family val="1"/>
      <charset val="204"/>
    </font>
    <font>
      <sz val="11"/>
      <name val="Arial"/>
      <family val="2"/>
      <charset val="204"/>
    </font>
  </fonts>
  <fills count="3">
    <fill>
      <patternFill patternType="none"/>
    </fill>
    <fill>
      <patternFill patternType="gray125"/>
    </fill>
    <fill>
      <patternFill patternType="solid">
        <fgColor theme="0"/>
        <bgColor indexed="64"/>
      </patternFill>
    </fill>
  </fills>
  <borders count="25">
    <border>
      <left/>
      <right/>
      <top/>
      <bottom/>
      <diagonal/>
    </border>
    <border>
      <left style="medium">
        <color indexed="64"/>
      </left>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93">
    <xf numFmtId="0" fontId="0" fillId="0" borderId="0" xfId="0"/>
    <xf numFmtId="0" fontId="1" fillId="0" borderId="0" xfId="0" applyFont="1"/>
    <xf numFmtId="0" fontId="1" fillId="0" borderId="1" xfId="0" applyFont="1" applyBorder="1" applyAlignment="1">
      <alignment horizontal="left"/>
    </xf>
    <xf numFmtId="0" fontId="1" fillId="0" borderId="2" xfId="0" applyFont="1" applyBorder="1" applyAlignment="1">
      <alignment horizontal="center"/>
    </xf>
    <xf numFmtId="0" fontId="1" fillId="0" borderId="2" xfId="0" applyFont="1" applyBorder="1" applyAlignment="1">
      <alignment horizontal="right"/>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right"/>
    </xf>
    <xf numFmtId="0" fontId="0" fillId="0" borderId="3" xfId="0" applyBorder="1" applyAlignment="1">
      <alignment horizontal="right"/>
    </xf>
    <xf numFmtId="0" fontId="0" fillId="0" borderId="4" xfId="0" applyBorder="1" applyAlignment="1">
      <alignment horizontal="right"/>
    </xf>
    <xf numFmtId="0" fontId="0" fillId="0" borderId="0" xfId="0"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7" xfId="0" applyBorder="1" applyAlignment="1">
      <alignment horizontal="center"/>
    </xf>
    <xf numFmtId="0" fontId="0" fillId="0" borderId="7" xfId="0" applyBorder="1" applyAlignment="1">
      <alignment horizontal="right"/>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0" fillId="0" borderId="9" xfId="0" applyBorder="1" applyAlignment="1">
      <alignment horizontal="center" vertical="center"/>
    </xf>
    <xf numFmtId="0" fontId="2" fillId="0" borderId="8" xfId="0" applyFont="1" applyBorder="1" applyAlignment="1">
      <alignment horizontal="center" vertical="center" wrapText="1"/>
    </xf>
    <xf numFmtId="0" fontId="0" fillId="0" borderId="11" xfId="0"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9" fillId="0" borderId="0" xfId="0" applyFont="1" applyAlignment="1">
      <alignment horizontal="left"/>
    </xf>
    <xf numFmtId="0" fontId="9" fillId="0" borderId="0" xfId="0" applyFont="1"/>
    <xf numFmtId="0" fontId="2" fillId="0" borderId="0" xfId="0" applyFont="1" applyAlignment="1">
      <alignment horizontal="center"/>
    </xf>
    <xf numFmtId="0" fontId="2" fillId="0" borderId="7" xfId="0" applyFont="1" applyBorder="1" applyAlignment="1">
      <alignment horizontal="center"/>
    </xf>
    <xf numFmtId="2" fontId="2" fillId="0" borderId="0" xfId="0" applyNumberFormat="1" applyFont="1" applyAlignment="1">
      <alignment horizontal="center"/>
    </xf>
    <xf numFmtId="0" fontId="0" fillId="0" borderId="13" xfId="0" applyBorder="1"/>
    <xf numFmtId="0" fontId="10" fillId="0" borderId="7" xfId="0" applyFont="1" applyBorder="1" applyAlignment="1">
      <alignment horizontal="center"/>
    </xf>
    <xf numFmtId="0" fontId="11" fillId="0" borderId="8" xfId="0" applyFont="1" applyBorder="1" applyAlignment="1">
      <alignment horizontal="center" vertical="center" wrapText="1"/>
    </xf>
    <xf numFmtId="0" fontId="11" fillId="0" borderId="9" xfId="0" applyFont="1" applyBorder="1" applyAlignment="1">
      <alignment horizontal="center" vertical="center"/>
    </xf>
    <xf numFmtId="0" fontId="11" fillId="0" borderId="3" xfId="0" applyFont="1" applyBorder="1" applyAlignment="1">
      <alignment horizontal="center" vertical="center"/>
    </xf>
    <xf numFmtId="0" fontId="13" fillId="0" borderId="0" xfId="0" applyFont="1" applyAlignment="1">
      <alignment horizontal="center" vertical="center" wrapText="1"/>
    </xf>
    <xf numFmtId="2" fontId="11" fillId="0" borderId="9" xfId="0" applyNumberFormat="1" applyFont="1" applyBorder="1" applyAlignment="1">
      <alignment horizontal="center" vertical="center"/>
    </xf>
    <xf numFmtId="2" fontId="0" fillId="0" borderId="9" xfId="0" applyNumberFormat="1" applyBorder="1" applyAlignment="1">
      <alignment horizontal="center" vertical="center"/>
    </xf>
    <xf numFmtId="164" fontId="11" fillId="0" borderId="11" xfId="0" applyNumberFormat="1" applyFont="1" applyBorder="1" applyAlignment="1">
      <alignment horizontal="center" vertical="center"/>
    </xf>
    <xf numFmtId="0" fontId="0" fillId="2" borderId="0" xfId="0" applyFill="1" applyAlignment="1">
      <alignment horizontal="left"/>
    </xf>
    <xf numFmtId="0" fontId="9" fillId="2" borderId="0" xfId="0" applyFont="1" applyFill="1" applyAlignment="1">
      <alignment horizontal="left"/>
    </xf>
    <xf numFmtId="14" fontId="0" fillId="0" borderId="0" xfId="0" applyNumberFormat="1"/>
    <xf numFmtId="165" fontId="0" fillId="0" borderId="0" xfId="0" applyNumberFormat="1"/>
    <xf numFmtId="2" fontId="0" fillId="0" borderId="0" xfId="0" applyNumberFormat="1"/>
    <xf numFmtId="1" fontId="0" fillId="0" borderId="0" xfId="0" applyNumberFormat="1"/>
    <xf numFmtId="0" fontId="2" fillId="0" borderId="9" xfId="0" applyFont="1" applyBorder="1" applyAlignment="1">
      <alignment horizontal="center" vertical="center" wrapText="1"/>
    </xf>
    <xf numFmtId="0" fontId="14" fillId="0" borderId="0" xfId="0" applyFont="1" applyAlignment="1">
      <alignment horizontal="left" vertical="center" wrapText="1"/>
    </xf>
    <xf numFmtId="2" fontId="14" fillId="0" borderId="0" xfId="0" applyNumberFormat="1" applyFont="1" applyAlignment="1">
      <alignment horizontal="left" vertical="center" wrapText="1"/>
    </xf>
    <xf numFmtId="0" fontId="10" fillId="0" borderId="14" xfId="0" applyFont="1" applyBorder="1" applyAlignment="1">
      <alignment horizontal="center" vertical="center"/>
    </xf>
    <xf numFmtId="2" fontId="10" fillId="0" borderId="14" xfId="0" applyNumberFormat="1" applyFont="1" applyBorder="1" applyAlignment="1">
      <alignment horizontal="center" vertical="center"/>
    </xf>
    <xf numFmtId="0" fontId="10" fillId="0" borderId="9" xfId="0" applyFont="1" applyBorder="1" applyAlignment="1">
      <alignment horizontal="center" vertical="center"/>
    </xf>
    <xf numFmtId="2" fontId="10" fillId="0" borderId="9" xfId="0" applyNumberFormat="1" applyFont="1" applyBorder="1" applyAlignment="1">
      <alignment horizontal="center" vertical="center"/>
    </xf>
    <xf numFmtId="1" fontId="0" fillId="0" borderId="0" xfId="0" applyNumberFormat="1" applyAlignment="1">
      <alignment horizontal="center"/>
    </xf>
    <xf numFmtId="2" fontId="0" fillId="0" borderId="7" xfId="0" applyNumberFormat="1" applyBorder="1" applyAlignment="1">
      <alignment horizontal="center"/>
    </xf>
    <xf numFmtId="164" fontId="10" fillId="0" borderId="7" xfId="0" applyNumberFormat="1" applyFont="1" applyBorder="1" applyAlignment="1">
      <alignment horizontal="center"/>
    </xf>
    <xf numFmtId="0" fontId="11" fillId="0" borderId="11" xfId="0" applyFont="1" applyBorder="1" applyAlignment="1">
      <alignment horizontal="center" vertical="center"/>
    </xf>
    <xf numFmtId="0" fontId="0" fillId="0" borderId="8" xfId="0" applyBorder="1" applyAlignment="1">
      <alignment horizontal="center" vertical="center"/>
    </xf>
    <xf numFmtId="0" fontId="11" fillId="0" borderId="9" xfId="0" applyFont="1" applyBorder="1" applyAlignment="1">
      <alignment horizontal="center" vertical="center" wrapText="1"/>
    </xf>
    <xf numFmtId="1" fontId="0" fillId="0" borderId="7" xfId="0" applyNumberFormat="1" applyBorder="1" applyAlignment="1">
      <alignment horizontal="center"/>
    </xf>
    <xf numFmtId="0" fontId="11" fillId="0" borderId="8" xfId="0" applyFont="1" applyBorder="1" applyAlignment="1">
      <alignment horizontal="center" vertical="center"/>
    </xf>
    <xf numFmtId="0" fontId="11" fillId="0" borderId="13" xfId="0" applyFont="1" applyBorder="1"/>
    <xf numFmtId="0" fontId="11" fillId="0" borderId="0" xfId="0" applyFont="1" applyAlignment="1">
      <alignment horizontal="center" vertical="center"/>
    </xf>
    <xf numFmtId="0" fontId="11" fillId="0" borderId="0" xfId="0" applyFont="1"/>
    <xf numFmtId="0" fontId="1" fillId="0" borderId="12" xfId="0" applyFont="1" applyBorder="1" applyAlignment="1">
      <alignment horizontal="center" vertical="center" wrapText="1"/>
    </xf>
    <xf numFmtId="0" fontId="1" fillId="0" borderId="22" xfId="0" applyFont="1" applyBorder="1" applyAlignment="1">
      <alignment horizontal="center" vertical="center"/>
    </xf>
    <xf numFmtId="0" fontId="1" fillId="0" borderId="22" xfId="0" applyFont="1" applyBorder="1" applyAlignment="1">
      <alignment horizontal="center" vertical="center" wrapText="1"/>
    </xf>
    <xf numFmtId="0" fontId="1" fillId="0" borderId="19" xfId="0" applyFont="1" applyBorder="1" applyAlignment="1">
      <alignment horizontal="center" vertical="center" wrapText="1"/>
    </xf>
    <xf numFmtId="0" fontId="3" fillId="0" borderId="9" xfId="0" applyFont="1" applyBorder="1" applyAlignment="1">
      <alignment horizontal="center" vertical="center" wrapText="1"/>
    </xf>
    <xf numFmtId="0" fontId="11" fillId="0" borderId="18" xfId="0" applyFont="1" applyBorder="1" applyAlignment="1">
      <alignment horizontal="center" vertical="center"/>
    </xf>
    <xf numFmtId="0" fontId="2" fillId="0" borderId="21" xfId="0" applyFont="1" applyBorder="1" applyAlignment="1">
      <alignment horizontal="center" vertical="center" wrapText="1"/>
    </xf>
    <xf numFmtId="0" fontId="2"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2" fillId="0" borderId="10" xfId="0" applyFont="1" applyBorder="1" applyAlignment="1">
      <alignment horizontal="center" vertical="center" wrapText="1"/>
    </xf>
    <xf numFmtId="1" fontId="0" fillId="0" borderId="9" xfId="0" applyNumberFormat="1" applyBorder="1" applyAlignment="1">
      <alignment horizontal="center" vertical="center"/>
    </xf>
    <xf numFmtId="0" fontId="12" fillId="0" borderId="9"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10" xfId="0" applyFont="1" applyBorder="1" applyAlignment="1">
      <alignment horizontal="center" vertical="center" wrapText="1"/>
    </xf>
    <xf numFmtId="2" fontId="11" fillId="0" borderId="11" xfId="0" applyNumberFormat="1" applyFont="1" applyBorder="1" applyAlignment="1">
      <alignment horizontal="center" vertical="center"/>
    </xf>
    <xf numFmtId="0" fontId="15" fillId="0" borderId="0" xfId="0" applyFont="1" applyAlignment="1">
      <alignment horizontal="center"/>
    </xf>
    <xf numFmtId="0" fontId="2"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 fillId="0" borderId="0" xfId="0" applyFont="1" applyAlignment="1">
      <alignment horizontal="center" vertical="center"/>
    </xf>
    <xf numFmtId="164" fontId="0" fillId="0" borderId="0" xfId="0" applyNumberFormat="1" applyAlignment="1">
      <alignment horizontal="center" vertical="center"/>
    </xf>
    <xf numFmtId="0" fontId="6"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3</xdr:col>
      <xdr:colOff>70138</xdr:colOff>
      <xdr:row>0</xdr:row>
      <xdr:rowOff>1081396</xdr:rowOff>
    </xdr:from>
    <xdr:ext cx="4285084" cy="210955"/>
    <xdr:sp macro="" textlink="">
      <xdr:nvSpPr>
        <xdr:cNvPr id="1026"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5893995" y="1081396"/>
          <a:ext cx="4285084" cy="210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GB" sz="1200" b="1" i="1" u="none" strike="noStrike" baseline="0">
              <a:solidFill>
                <a:schemeClr val="tx1"/>
              </a:solidFill>
              <a:latin typeface="Arial"/>
              <a:ea typeface="+mn-ea"/>
              <a:cs typeface="Arial"/>
            </a:rPr>
            <a:t>SPECIFICATION/</a:t>
          </a:r>
          <a:r>
            <a:rPr lang="ru-RU" sz="1200" b="1" i="1" u="none" strike="noStrike" baseline="0">
              <a:solidFill>
                <a:schemeClr val="tx1"/>
              </a:solidFill>
              <a:latin typeface="Arial"/>
              <a:ea typeface="+mn-ea"/>
              <a:cs typeface="Arial"/>
            </a:rPr>
            <a:t>СПЕЦИФИКАЦИЯ № 1    </a:t>
          </a:r>
          <a:r>
            <a:rPr lang="en-GB" sz="1200" b="1" i="1" u="none" strike="noStrike" baseline="0">
              <a:solidFill>
                <a:schemeClr val="tx1"/>
              </a:solidFill>
              <a:latin typeface="Arial"/>
              <a:cs typeface="Arial"/>
            </a:rPr>
            <a:t>Date:</a:t>
          </a:r>
          <a:r>
            <a:rPr lang="ru-RU" sz="1200" b="1" i="1" u="none" strike="noStrike" baseline="0">
              <a:solidFill>
                <a:schemeClr val="tx1"/>
              </a:solidFill>
              <a:latin typeface="Arial"/>
              <a:cs typeface="Arial"/>
            </a:rPr>
            <a:t> 10</a:t>
          </a:r>
          <a:r>
            <a:rPr lang="en-GB" sz="1200" b="1" i="1" u="none" strike="noStrike" baseline="0">
              <a:solidFill>
                <a:schemeClr val="tx1"/>
              </a:solidFill>
              <a:latin typeface="Arial"/>
              <a:cs typeface="Arial"/>
            </a:rPr>
            <a:t>/</a:t>
          </a:r>
          <a:r>
            <a:rPr lang="ru-RU" sz="1200" b="1" i="1" u="none" strike="noStrike" baseline="0">
              <a:solidFill>
                <a:schemeClr val="tx1"/>
              </a:solidFill>
              <a:latin typeface="Arial"/>
              <a:cs typeface="Arial"/>
            </a:rPr>
            <a:t>03</a:t>
          </a:r>
          <a:r>
            <a:rPr lang="en-GB" sz="1200" b="1" i="1" u="none" strike="noStrike" baseline="0">
              <a:solidFill>
                <a:schemeClr val="tx1"/>
              </a:solidFill>
              <a:latin typeface="Arial"/>
              <a:cs typeface="Arial"/>
            </a:rPr>
            <a:t>/202</a:t>
          </a:r>
          <a:r>
            <a:rPr lang="ru-RU" sz="1200" b="1" i="1" u="none" strike="noStrike" baseline="0">
              <a:solidFill>
                <a:schemeClr val="tx1"/>
              </a:solidFill>
              <a:latin typeface="Arial"/>
              <a:cs typeface="Arial"/>
            </a:rPr>
            <a:t>6</a:t>
          </a:r>
          <a:endParaRPr lang="en-GB">
            <a:solidFill>
              <a:schemeClr val="tx1"/>
            </a:solidFill>
          </a:endParaRPr>
        </a:p>
      </xdr:txBody>
    </xdr:sp>
    <xdr:clientData/>
  </xdr:oneCellAnchor>
  <xdr:oneCellAnchor>
    <xdr:from>
      <xdr:col>3</xdr:col>
      <xdr:colOff>84364</xdr:colOff>
      <xdr:row>0</xdr:row>
      <xdr:rowOff>783771</xdr:rowOff>
    </xdr:from>
    <xdr:ext cx="2002921" cy="210955"/>
    <xdr:sp macro="" textlink="">
      <xdr:nvSpPr>
        <xdr:cNvPr id="1027" name="Text Box 3">
          <a:extLst>
            <a:ext uri="{FF2B5EF4-FFF2-40B4-BE49-F238E27FC236}">
              <a16:creationId xmlns:a16="http://schemas.microsoft.com/office/drawing/2014/main" id="{00000000-0008-0000-0000-000003040000}"/>
            </a:ext>
          </a:extLst>
        </xdr:cNvPr>
        <xdr:cNvSpPr txBox="1">
          <a:spLocks noChangeArrowheads="1"/>
        </xdr:cNvSpPr>
      </xdr:nvSpPr>
      <xdr:spPr bwMode="auto">
        <a:xfrm>
          <a:off x="5908221" y="783771"/>
          <a:ext cx="2002921" cy="210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2860" rIns="0" bIns="0" anchor="t" upright="1">
          <a:spAutoFit/>
        </a:bodyPr>
        <a:lstStyle/>
        <a:p>
          <a:pPr algn="l" rtl="0">
            <a:defRPr sz="1000"/>
          </a:pPr>
          <a:r>
            <a:rPr lang="en-GB" sz="1200" b="1" i="1" u="none" strike="noStrike" baseline="0">
              <a:solidFill>
                <a:srgbClr val="000000"/>
              </a:solidFill>
              <a:latin typeface="Arial"/>
              <a:cs typeface="Arial"/>
            </a:rPr>
            <a:t>Pick List for VITORIA LLC  </a:t>
          </a:r>
          <a:endParaRPr lang="en-GB"/>
        </a:p>
      </xdr:txBody>
    </xdr:sp>
    <xdr:clientData/>
  </xdr:oneCellAnchor>
  <xdr:twoCellAnchor editAs="oneCell">
    <xdr:from>
      <xdr:col>2</xdr:col>
      <xdr:colOff>12370</xdr:colOff>
      <xdr:row>0</xdr:row>
      <xdr:rowOff>163285</xdr:rowOff>
    </xdr:from>
    <xdr:to>
      <xdr:col>14</xdr:col>
      <xdr:colOff>96487</xdr:colOff>
      <xdr:row>0</xdr:row>
      <xdr:rowOff>783029</xdr:rowOff>
    </xdr:to>
    <xdr:sp macro="" textlink="">
      <xdr:nvSpPr>
        <xdr:cNvPr id="1028" name="Text Box 4">
          <a:extLst>
            <a:ext uri="{FF2B5EF4-FFF2-40B4-BE49-F238E27FC236}">
              <a16:creationId xmlns:a16="http://schemas.microsoft.com/office/drawing/2014/main" id="{00000000-0008-0000-0000-000004040000}"/>
            </a:ext>
          </a:extLst>
        </xdr:cNvPr>
        <xdr:cNvSpPr txBox="1">
          <a:spLocks noChangeArrowheads="1"/>
        </xdr:cNvSpPr>
      </xdr:nvSpPr>
      <xdr:spPr bwMode="auto">
        <a:xfrm>
          <a:off x="4802084" y="163285"/>
          <a:ext cx="9241724" cy="61974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68580" rIns="0" bIns="0" anchor="t" upright="1"/>
        <a:lstStyle/>
        <a:p>
          <a:pPr algn="ctr" rtl="0">
            <a:defRPr sz="1000"/>
          </a:pPr>
          <a:r>
            <a:rPr lang="en-GB" sz="1400" b="0" i="0" u="none" strike="noStrike" baseline="0">
              <a:solidFill>
                <a:srgbClr val="000000"/>
              </a:solidFill>
              <a:latin typeface="Arial Black"/>
            </a:rPr>
            <a:t>GAOMI MODERN SHOES CO.,LTD.</a:t>
          </a:r>
          <a:endParaRPr lang="ru-RU" sz="1400" b="0" i="0" u="none" strike="noStrike" baseline="0">
            <a:solidFill>
              <a:srgbClr val="000000"/>
            </a:solidFill>
            <a:latin typeface="Arial Black"/>
          </a:endParaRPr>
        </a:p>
        <a:p>
          <a:pPr algn="ctr" rtl="0">
            <a:defRPr sz="1000"/>
          </a:pPr>
          <a:r>
            <a:rPr lang="en-GB" sz="1400" b="0" i="0" u="none" strike="noStrike" baseline="0">
              <a:solidFill>
                <a:srgbClr val="000000"/>
              </a:solidFill>
              <a:latin typeface="Arial Black"/>
            </a:rPr>
            <a:t>NO.1,MIDDLE OF ZHOUYANG ROAD, MISHUI DISTRICT,GAOMI SHANDONG,CHINA</a:t>
          </a:r>
          <a:endParaRPr lang="en-GB" sz="600"/>
        </a:p>
      </xdr:txBody>
    </xdr:sp>
    <xdr:clientData/>
  </xdr:twoCellAnchor>
  <xdr:oneCellAnchor>
    <xdr:from>
      <xdr:col>31</xdr:col>
      <xdr:colOff>0</xdr:colOff>
      <xdr:row>0</xdr:row>
      <xdr:rowOff>619125</xdr:rowOff>
    </xdr:from>
    <xdr:ext cx="18531" cy="179601"/>
    <xdr:sp macro="" textlink="">
      <xdr:nvSpPr>
        <xdr:cNvPr id="1033" name="Text Box 9">
          <a:extLst>
            <a:ext uri="{FF2B5EF4-FFF2-40B4-BE49-F238E27FC236}">
              <a16:creationId xmlns:a16="http://schemas.microsoft.com/office/drawing/2014/main" id="{00000000-0008-0000-0000-000009040000}"/>
            </a:ext>
          </a:extLst>
        </xdr:cNvPr>
        <xdr:cNvSpPr txBox="1">
          <a:spLocks noChangeArrowheads="1"/>
        </xdr:cNvSpPr>
      </xdr:nvSpPr>
      <xdr:spPr bwMode="auto">
        <a:xfrm>
          <a:off x="24545925" y="619125"/>
          <a:ext cx="18531" cy="1796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endParaRPr lang="en-GB"/>
        </a:p>
      </xdr:txBody>
    </xdr:sp>
    <xdr:clientData/>
  </xdr:oneCellAnchor>
  <xdr:twoCellAnchor editAs="oneCell">
    <xdr:from>
      <xdr:col>37</xdr:col>
      <xdr:colOff>258536</xdr:colOff>
      <xdr:row>2</xdr:row>
      <xdr:rowOff>662669</xdr:rowOff>
    </xdr:from>
    <xdr:to>
      <xdr:col>37</xdr:col>
      <xdr:colOff>1603180</xdr:colOff>
      <xdr:row>3</xdr:row>
      <xdr:rowOff>911680</xdr:rowOff>
    </xdr:to>
    <xdr:pic>
      <xdr:nvPicPr>
        <xdr:cNvPr id="27" name="Picture 2" descr="http://www.shoes.ru/images/all/ware1/135532.jp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stretch>
          <a:fillRect/>
        </a:stretch>
      </xdr:blipFill>
      <xdr:spPr>
        <a:xfrm>
          <a:off x="28493357" y="2785383"/>
          <a:ext cx="1344644" cy="1119868"/>
        </a:xfrm>
        <a:prstGeom prst="rect">
          <a:avLst/>
        </a:prstGeom>
        <a:noFill/>
        <a:ln w="9525">
          <a:noFill/>
          <a:miter/>
        </a:ln>
      </xdr:spPr>
    </xdr:pic>
    <xdr:clientData/>
  </xdr:twoCellAnchor>
  <xdr:twoCellAnchor editAs="oneCell">
    <xdr:from>
      <xdr:col>37</xdr:col>
      <xdr:colOff>308881</xdr:colOff>
      <xdr:row>3</xdr:row>
      <xdr:rowOff>896710</xdr:rowOff>
    </xdr:from>
    <xdr:to>
      <xdr:col>37</xdr:col>
      <xdr:colOff>1600245</xdr:colOff>
      <xdr:row>4</xdr:row>
      <xdr:rowOff>693964</xdr:rowOff>
    </xdr:to>
    <xdr:pic>
      <xdr:nvPicPr>
        <xdr:cNvPr id="28" name="Picture 1" descr="http://www.shoes.ru/images/all/ware1/135533.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cstate="print"/>
        <a:stretch>
          <a:fillRect/>
        </a:stretch>
      </xdr:blipFill>
      <xdr:spPr>
        <a:xfrm>
          <a:off x="28543702" y="3890281"/>
          <a:ext cx="1291364" cy="1049112"/>
        </a:xfrm>
        <a:prstGeom prst="rect">
          <a:avLst/>
        </a:prstGeom>
        <a:noFill/>
        <a:ln w="9525">
          <a:noFill/>
          <a:miter/>
        </a:ln>
      </xdr:spPr>
    </xdr:pic>
    <xdr:clientData/>
  </xdr:twoCellAnchor>
  <xdr:twoCellAnchor editAs="oneCell">
    <xdr:from>
      <xdr:col>37</xdr:col>
      <xdr:colOff>404132</xdr:colOff>
      <xdr:row>5</xdr:row>
      <xdr:rowOff>12244</xdr:rowOff>
    </xdr:from>
    <xdr:to>
      <xdr:col>37</xdr:col>
      <xdr:colOff>1496787</xdr:colOff>
      <xdr:row>5</xdr:row>
      <xdr:rowOff>900129</xdr:rowOff>
    </xdr:to>
    <xdr:pic>
      <xdr:nvPicPr>
        <xdr:cNvPr id="29" name="Picture 4" descr="http://www.shoes.ru/images/all/ware1/135534.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cstate="print"/>
        <a:stretch>
          <a:fillRect/>
        </a:stretch>
      </xdr:blipFill>
      <xdr:spPr>
        <a:xfrm>
          <a:off x="28638953" y="4951637"/>
          <a:ext cx="1092655" cy="887885"/>
        </a:xfrm>
        <a:prstGeom prst="rect">
          <a:avLst/>
        </a:prstGeom>
        <a:noFill/>
        <a:ln w="9525">
          <a:noFill/>
          <a:miter/>
        </a:ln>
      </xdr:spPr>
    </xdr:pic>
    <xdr:clientData/>
  </xdr:twoCellAnchor>
  <xdr:twoCellAnchor editAs="oneCell">
    <xdr:from>
      <xdr:col>37</xdr:col>
      <xdr:colOff>326573</xdr:colOff>
      <xdr:row>6</xdr:row>
      <xdr:rowOff>122465</xdr:rowOff>
    </xdr:from>
    <xdr:to>
      <xdr:col>37</xdr:col>
      <xdr:colOff>1510394</xdr:colOff>
      <xdr:row>6</xdr:row>
      <xdr:rowOff>1005617</xdr:rowOff>
    </xdr:to>
    <xdr:pic>
      <xdr:nvPicPr>
        <xdr:cNvPr id="30" name="Picture 3" descr="http://www.shoes.ru/images/all/ware1/135535.jp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cstate="print"/>
        <a:srcRect/>
        <a:stretch>
          <a:fillRect/>
        </a:stretch>
      </xdr:blipFill>
      <xdr:spPr>
        <a:xfrm>
          <a:off x="28561394" y="5973536"/>
          <a:ext cx="1183821" cy="8831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790575</xdr:rowOff>
    </xdr:from>
    <xdr:ext cx="6501845" cy="210955"/>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47625" y="790575"/>
          <a:ext cx="6501845" cy="210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GB" sz="1000" b="0" i="0" u="none" strike="noStrike" baseline="0">
              <a:solidFill>
                <a:srgbClr val="000000"/>
              </a:solidFill>
              <a:latin typeface="Arial"/>
              <a:cs typeface="Arial"/>
            </a:rPr>
            <a:t>…………………………………………………………………………………..…………………………………………</a:t>
          </a:r>
          <a:r>
            <a:rPr lang="en-GB" sz="1200" b="1" i="1" u="none" strike="noStrike" baseline="0">
              <a:solidFill>
                <a:srgbClr val="000000"/>
              </a:solidFill>
              <a:latin typeface="Arial"/>
              <a:cs typeface="Arial"/>
            </a:rPr>
            <a:t>Date:</a:t>
          </a:r>
          <a:endParaRPr lang="en-GB"/>
        </a:p>
      </xdr:txBody>
    </xdr:sp>
    <xdr:clientData/>
  </xdr:oneCellAnchor>
  <xdr:oneCellAnchor>
    <xdr:from>
      <xdr:col>0</xdr:col>
      <xdr:colOff>57150</xdr:colOff>
      <xdr:row>0</xdr:row>
      <xdr:rowOff>552450</xdr:rowOff>
    </xdr:from>
    <xdr:ext cx="1190625" cy="228600"/>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57150" y="552450"/>
          <a:ext cx="1190625"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2860" rIns="0" bIns="0" anchor="t" upright="1">
          <a:spAutoFit/>
        </a:bodyPr>
        <a:lstStyle/>
        <a:p>
          <a:pPr algn="l" rtl="0">
            <a:defRPr sz="1000"/>
          </a:pPr>
          <a:r>
            <a:rPr lang="en-GB" sz="1200" b="1" i="1" u="none" strike="noStrike" baseline="0">
              <a:solidFill>
                <a:srgbClr val="000000"/>
              </a:solidFill>
              <a:latin typeface="Arial"/>
              <a:cs typeface="Arial"/>
            </a:rPr>
            <a:t>Order Number:</a:t>
          </a:r>
          <a:endParaRPr lang="en-GB"/>
        </a:p>
      </xdr:txBody>
    </xdr:sp>
    <xdr:clientData/>
  </xdr:oneCellAnchor>
  <xdr:twoCellAnchor editAs="oneCell">
    <xdr:from>
      <xdr:col>0</xdr:col>
      <xdr:colOff>0</xdr:colOff>
      <xdr:row>0</xdr:row>
      <xdr:rowOff>0</xdr:rowOff>
    </xdr:from>
    <xdr:to>
      <xdr:col>14</xdr:col>
      <xdr:colOff>0</xdr:colOff>
      <xdr:row>0</xdr:row>
      <xdr:rowOff>457200</xdr:rowOff>
    </xdr:to>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0" y="0"/>
          <a:ext cx="798195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68580" rIns="0" bIns="0" anchor="t" upright="1"/>
        <a:lstStyle/>
        <a:p>
          <a:pPr algn="l" rtl="0">
            <a:defRPr sz="1000"/>
          </a:pPr>
          <a:r>
            <a:rPr lang="en-GB" sz="2400" b="0" i="0" u="none" strike="noStrike" baseline="0">
              <a:solidFill>
                <a:srgbClr val="000000"/>
              </a:solidFill>
              <a:latin typeface="Arial Black"/>
            </a:rPr>
            <a:t>Grandstand </a:t>
          </a:r>
          <a:r>
            <a:rPr lang="en-GB" sz="1400" b="0" i="0" u="none" strike="noStrike" baseline="0">
              <a:solidFill>
                <a:srgbClr val="000000"/>
              </a:solidFill>
              <a:latin typeface="Arial Black"/>
            </a:rPr>
            <a:t>Footwear Ltd.</a:t>
          </a:r>
          <a:r>
            <a:rPr lang="en-GB" sz="1000" b="0" i="0" u="none" strike="noStrike" baseline="0">
              <a:solidFill>
                <a:srgbClr val="000000"/>
              </a:solidFill>
              <a:latin typeface="Arial Black"/>
            </a:rPr>
            <a:t> </a:t>
          </a:r>
          <a:r>
            <a:rPr lang="en-GB" sz="1100" b="0" i="0" u="none" strike="noStrike" baseline="0">
              <a:solidFill>
                <a:srgbClr val="000000"/>
              </a:solidFill>
              <a:latin typeface="Arial Narrow"/>
            </a:rPr>
            <a:t>The Barn at Mount Maskall, Generals Lane, Boreham, Chelmsford, Essex CM3 3HW</a:t>
          </a:r>
          <a:r>
            <a:rPr lang="en-GB" sz="1000" b="0" i="0" u="none" strike="noStrike" baseline="0">
              <a:solidFill>
                <a:srgbClr val="000000"/>
              </a:solidFill>
              <a:latin typeface="Arial Black"/>
            </a:rPr>
            <a:t> </a:t>
          </a:r>
          <a:endParaRPr lang="en-GB"/>
        </a:p>
      </xdr:txBody>
    </xdr:sp>
    <xdr:clientData/>
  </xdr:twoCellAnchor>
  <xdr:twoCellAnchor editAs="oneCell">
    <xdr:from>
      <xdr:col>0</xdr:col>
      <xdr:colOff>66675</xdr:colOff>
      <xdr:row>0</xdr:row>
      <xdr:rowOff>361950</xdr:rowOff>
    </xdr:from>
    <xdr:to>
      <xdr:col>13</xdr:col>
      <xdr:colOff>371475</xdr:colOff>
      <xdr:row>0</xdr:row>
      <xdr:rowOff>600075</xdr:rowOff>
    </xdr:to>
    <xdr:sp macro="" textlink="">
      <xdr:nvSpPr>
        <xdr:cNvPr id="2059" name="Text Box 11">
          <a:extLst>
            <a:ext uri="{FF2B5EF4-FFF2-40B4-BE49-F238E27FC236}">
              <a16:creationId xmlns:a16="http://schemas.microsoft.com/office/drawing/2014/main" id="{00000000-0008-0000-0100-00000B080000}"/>
            </a:ext>
          </a:extLst>
        </xdr:cNvPr>
        <xdr:cNvSpPr txBox="1">
          <a:spLocks noChangeArrowheads="1"/>
        </xdr:cNvSpPr>
      </xdr:nvSpPr>
      <xdr:spPr bwMode="auto">
        <a:xfrm>
          <a:off x="66675" y="361950"/>
          <a:ext cx="7572375" cy="2381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0" anchor="t" upright="1"/>
        <a:lstStyle/>
        <a:p>
          <a:pPr algn="l" rtl="0">
            <a:defRPr sz="1000"/>
          </a:pPr>
          <a:r>
            <a:rPr lang="en-GB" sz="1200" b="1" i="0" u="none" strike="noStrike" baseline="0">
              <a:solidFill>
                <a:srgbClr val="000000"/>
              </a:solidFill>
              <a:latin typeface="Arial Narrow"/>
            </a:rPr>
            <a:t>Tel: </a:t>
          </a:r>
          <a:r>
            <a:rPr lang="en-GB" sz="1200" b="0" i="0" u="none" strike="noStrike" baseline="0">
              <a:solidFill>
                <a:srgbClr val="000000"/>
              </a:solidFill>
              <a:latin typeface="Arial Narrow"/>
            </a:rPr>
            <a:t>01245 46 50 50</a:t>
          </a:r>
          <a:r>
            <a:rPr lang="en-GB" sz="1200" b="1" i="0" u="none" strike="noStrike" baseline="0">
              <a:solidFill>
                <a:srgbClr val="000000"/>
              </a:solidFill>
              <a:latin typeface="Arial Narrow"/>
            </a:rPr>
            <a:t> Fax: </a:t>
          </a:r>
          <a:r>
            <a:rPr lang="en-GB" sz="1200" b="0" i="0" u="none" strike="noStrike" baseline="0">
              <a:solidFill>
                <a:srgbClr val="000000"/>
              </a:solidFill>
              <a:latin typeface="Arial Narrow"/>
            </a:rPr>
            <a:t>01245 46 50 51 </a:t>
          </a:r>
          <a:r>
            <a:rPr lang="en-GB" sz="1200" b="1" i="0" u="none" strike="noStrike" baseline="0">
              <a:solidFill>
                <a:srgbClr val="000000"/>
              </a:solidFill>
              <a:latin typeface="Arial Narrow"/>
            </a:rPr>
            <a:t>Email: </a:t>
          </a:r>
          <a:r>
            <a:rPr lang="en-GB" sz="1200" b="0" i="0" u="none" strike="noStrike" baseline="0">
              <a:solidFill>
                <a:srgbClr val="000000"/>
              </a:solidFill>
              <a:latin typeface="Arial Narrow"/>
            </a:rPr>
            <a:t>info@grinders.co.uk </a:t>
          </a:r>
          <a:r>
            <a:rPr lang="en-GB" sz="1200" b="1" i="0" u="none" strike="noStrike" baseline="0">
              <a:solidFill>
                <a:srgbClr val="000000"/>
              </a:solidFill>
              <a:latin typeface="Arial Narrow"/>
            </a:rPr>
            <a:t>WWW: </a:t>
          </a:r>
          <a:r>
            <a:rPr lang="en-GB" sz="1200" b="0" i="0" u="none" strike="noStrike" baseline="0">
              <a:solidFill>
                <a:srgbClr val="000000"/>
              </a:solidFill>
              <a:latin typeface="Arial Narrow"/>
            </a:rPr>
            <a:t>www.grinders.co.uk</a:t>
          </a:r>
          <a:endParaRPr lang="en-GB"/>
        </a:p>
      </xdr:txBody>
    </xdr:sp>
    <xdr:clientData/>
  </xdr:twoCellAnchor>
  <xdr:twoCellAnchor>
    <xdr:from>
      <xdr:col>0</xdr:col>
      <xdr:colOff>104775</xdr:colOff>
      <xdr:row>0</xdr:row>
      <xdr:rowOff>809625</xdr:rowOff>
    </xdr:from>
    <xdr:to>
      <xdr:col>13</xdr:col>
      <xdr:colOff>600075</xdr:colOff>
      <xdr:row>0</xdr:row>
      <xdr:rowOff>809625</xdr:rowOff>
    </xdr:to>
    <xdr:sp macro="" textlink="">
      <xdr:nvSpPr>
        <xdr:cNvPr id="2060" name="Line 12">
          <a:extLst>
            <a:ext uri="{FF2B5EF4-FFF2-40B4-BE49-F238E27FC236}">
              <a16:creationId xmlns:a16="http://schemas.microsoft.com/office/drawing/2014/main" id="{00000000-0008-0000-0100-00000C080000}"/>
            </a:ext>
          </a:extLst>
        </xdr:cNvPr>
        <xdr:cNvSpPr>
          <a:spLocks noChangeShapeType="1"/>
        </xdr:cNvSpPr>
      </xdr:nvSpPr>
      <xdr:spPr bwMode="auto">
        <a:xfrm>
          <a:off x="104775" y="809625"/>
          <a:ext cx="77628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13</xdr:col>
      <xdr:colOff>152400</xdr:colOff>
      <xdr:row>0</xdr:row>
      <xdr:rowOff>619125</xdr:rowOff>
    </xdr:from>
    <xdr:ext cx="466725" cy="200025"/>
    <xdr:sp macro="" textlink="">
      <xdr:nvSpPr>
        <xdr:cNvPr id="2061" name="Text Box 13">
          <a:extLst>
            <a:ext uri="{FF2B5EF4-FFF2-40B4-BE49-F238E27FC236}">
              <a16:creationId xmlns:a16="http://schemas.microsoft.com/office/drawing/2014/main" id="{00000000-0008-0000-0100-00000D080000}"/>
            </a:ext>
          </a:extLst>
        </xdr:cNvPr>
        <xdr:cNvSpPr txBox="1">
          <a:spLocks noChangeArrowheads="1"/>
        </xdr:cNvSpPr>
      </xdr:nvSpPr>
      <xdr:spPr bwMode="auto">
        <a:xfrm>
          <a:off x="7419975" y="619125"/>
          <a:ext cx="4667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GB" sz="1000" b="0" i="0" u="none" strike="noStrike" baseline="0">
              <a:solidFill>
                <a:srgbClr val="000000"/>
              </a:solidFill>
              <a:latin typeface="Arial"/>
              <a:cs typeface="Arial"/>
            </a:rPr>
            <a:t>Page 2</a:t>
          </a:r>
          <a:endParaRPr lang="en-GB"/>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790575</xdr:rowOff>
    </xdr:from>
    <xdr:ext cx="6501845" cy="210955"/>
    <xdr:sp macro="" textlink="">
      <xdr:nvSpPr>
        <xdr:cNvPr id="3085" name="Text Box 13">
          <a:extLst>
            <a:ext uri="{FF2B5EF4-FFF2-40B4-BE49-F238E27FC236}">
              <a16:creationId xmlns:a16="http://schemas.microsoft.com/office/drawing/2014/main" id="{00000000-0008-0000-0200-00000D0C0000}"/>
            </a:ext>
          </a:extLst>
        </xdr:cNvPr>
        <xdr:cNvSpPr txBox="1">
          <a:spLocks noChangeArrowheads="1"/>
        </xdr:cNvSpPr>
      </xdr:nvSpPr>
      <xdr:spPr bwMode="auto">
        <a:xfrm>
          <a:off x="47625" y="790575"/>
          <a:ext cx="6501845" cy="210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GB" sz="1000" b="0" i="0" u="none" strike="noStrike" baseline="0">
              <a:solidFill>
                <a:srgbClr val="000000"/>
              </a:solidFill>
              <a:latin typeface="Arial"/>
              <a:cs typeface="Arial"/>
            </a:rPr>
            <a:t>…………………………………………………………………………………..…………………………………………</a:t>
          </a:r>
          <a:r>
            <a:rPr lang="en-GB" sz="1200" b="1" i="1" u="none" strike="noStrike" baseline="0">
              <a:solidFill>
                <a:srgbClr val="000000"/>
              </a:solidFill>
              <a:latin typeface="Arial"/>
              <a:cs typeface="Arial"/>
            </a:rPr>
            <a:t>Date:</a:t>
          </a:r>
          <a:endParaRPr lang="en-GB"/>
        </a:p>
      </xdr:txBody>
    </xdr:sp>
    <xdr:clientData/>
  </xdr:oneCellAnchor>
  <xdr:oneCellAnchor>
    <xdr:from>
      <xdr:col>0</xdr:col>
      <xdr:colOff>57150</xdr:colOff>
      <xdr:row>0</xdr:row>
      <xdr:rowOff>552450</xdr:rowOff>
    </xdr:from>
    <xdr:ext cx="1190625" cy="228600"/>
    <xdr:sp macro="" textlink="">
      <xdr:nvSpPr>
        <xdr:cNvPr id="3086" name="Text Box 14">
          <a:extLst>
            <a:ext uri="{FF2B5EF4-FFF2-40B4-BE49-F238E27FC236}">
              <a16:creationId xmlns:a16="http://schemas.microsoft.com/office/drawing/2014/main" id="{00000000-0008-0000-0200-00000E0C0000}"/>
            </a:ext>
          </a:extLst>
        </xdr:cNvPr>
        <xdr:cNvSpPr txBox="1">
          <a:spLocks noChangeArrowheads="1"/>
        </xdr:cNvSpPr>
      </xdr:nvSpPr>
      <xdr:spPr bwMode="auto">
        <a:xfrm>
          <a:off x="57150" y="552450"/>
          <a:ext cx="1190625"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2860" rIns="0" bIns="0" anchor="t" upright="1">
          <a:spAutoFit/>
        </a:bodyPr>
        <a:lstStyle/>
        <a:p>
          <a:pPr algn="l" rtl="0">
            <a:defRPr sz="1000"/>
          </a:pPr>
          <a:r>
            <a:rPr lang="en-GB" sz="1200" b="1" i="1" u="none" strike="noStrike" baseline="0">
              <a:solidFill>
                <a:srgbClr val="000000"/>
              </a:solidFill>
              <a:latin typeface="Arial"/>
              <a:cs typeface="Arial"/>
            </a:rPr>
            <a:t>Order Number:</a:t>
          </a:r>
          <a:endParaRPr lang="en-GB"/>
        </a:p>
      </xdr:txBody>
    </xdr:sp>
    <xdr:clientData/>
  </xdr:oneCellAnchor>
  <xdr:twoCellAnchor editAs="oneCell">
    <xdr:from>
      <xdr:col>0</xdr:col>
      <xdr:colOff>0</xdr:colOff>
      <xdr:row>0</xdr:row>
      <xdr:rowOff>0</xdr:rowOff>
    </xdr:from>
    <xdr:to>
      <xdr:col>14</xdr:col>
      <xdr:colOff>0</xdr:colOff>
      <xdr:row>0</xdr:row>
      <xdr:rowOff>457200</xdr:rowOff>
    </xdr:to>
    <xdr:sp macro="" textlink="">
      <xdr:nvSpPr>
        <xdr:cNvPr id="3087" name="Text Box 15">
          <a:extLst>
            <a:ext uri="{FF2B5EF4-FFF2-40B4-BE49-F238E27FC236}">
              <a16:creationId xmlns:a16="http://schemas.microsoft.com/office/drawing/2014/main" id="{00000000-0008-0000-0200-00000F0C0000}"/>
            </a:ext>
          </a:extLst>
        </xdr:cNvPr>
        <xdr:cNvSpPr txBox="1">
          <a:spLocks noChangeArrowheads="1"/>
        </xdr:cNvSpPr>
      </xdr:nvSpPr>
      <xdr:spPr bwMode="auto">
        <a:xfrm>
          <a:off x="0" y="0"/>
          <a:ext cx="798195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68580" rIns="0" bIns="0" anchor="t" upright="1"/>
        <a:lstStyle/>
        <a:p>
          <a:pPr algn="l" rtl="0">
            <a:defRPr sz="1000"/>
          </a:pPr>
          <a:r>
            <a:rPr lang="en-GB" sz="2400" b="0" i="0" u="none" strike="noStrike" baseline="0">
              <a:solidFill>
                <a:srgbClr val="000000"/>
              </a:solidFill>
              <a:latin typeface="Arial Black"/>
            </a:rPr>
            <a:t>Grandstand </a:t>
          </a:r>
          <a:r>
            <a:rPr lang="en-GB" sz="1400" b="0" i="0" u="none" strike="noStrike" baseline="0">
              <a:solidFill>
                <a:srgbClr val="000000"/>
              </a:solidFill>
              <a:latin typeface="Arial Black"/>
            </a:rPr>
            <a:t>Footwear Ltd.</a:t>
          </a:r>
          <a:r>
            <a:rPr lang="en-GB" sz="1000" b="0" i="0" u="none" strike="noStrike" baseline="0">
              <a:solidFill>
                <a:srgbClr val="000000"/>
              </a:solidFill>
              <a:latin typeface="Arial Black"/>
            </a:rPr>
            <a:t> </a:t>
          </a:r>
          <a:r>
            <a:rPr lang="en-GB" sz="1100" b="0" i="0" u="none" strike="noStrike" baseline="0">
              <a:solidFill>
                <a:srgbClr val="000000"/>
              </a:solidFill>
              <a:latin typeface="Arial Narrow"/>
            </a:rPr>
            <a:t>The Barn at Mount Maskall, Generals Lane, Boreham, Chelmsford, Essex CM3 3HW</a:t>
          </a:r>
          <a:r>
            <a:rPr lang="en-GB" sz="1000" b="0" i="0" u="none" strike="noStrike" baseline="0">
              <a:solidFill>
                <a:srgbClr val="000000"/>
              </a:solidFill>
              <a:latin typeface="Arial Black"/>
            </a:rPr>
            <a:t> </a:t>
          </a:r>
          <a:endParaRPr lang="en-GB"/>
        </a:p>
      </xdr:txBody>
    </xdr:sp>
    <xdr:clientData/>
  </xdr:twoCellAnchor>
  <xdr:twoCellAnchor editAs="oneCell">
    <xdr:from>
      <xdr:col>0</xdr:col>
      <xdr:colOff>66675</xdr:colOff>
      <xdr:row>0</xdr:row>
      <xdr:rowOff>361950</xdr:rowOff>
    </xdr:from>
    <xdr:to>
      <xdr:col>13</xdr:col>
      <xdr:colOff>371475</xdr:colOff>
      <xdr:row>0</xdr:row>
      <xdr:rowOff>600075</xdr:rowOff>
    </xdr:to>
    <xdr:sp macro="" textlink="">
      <xdr:nvSpPr>
        <xdr:cNvPr id="3088" name="Text Box 16">
          <a:extLst>
            <a:ext uri="{FF2B5EF4-FFF2-40B4-BE49-F238E27FC236}">
              <a16:creationId xmlns:a16="http://schemas.microsoft.com/office/drawing/2014/main" id="{00000000-0008-0000-0200-0000100C0000}"/>
            </a:ext>
          </a:extLst>
        </xdr:cNvPr>
        <xdr:cNvSpPr txBox="1">
          <a:spLocks noChangeArrowheads="1"/>
        </xdr:cNvSpPr>
      </xdr:nvSpPr>
      <xdr:spPr bwMode="auto">
        <a:xfrm>
          <a:off x="66675" y="361950"/>
          <a:ext cx="7572375" cy="2381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0" anchor="t" upright="1"/>
        <a:lstStyle/>
        <a:p>
          <a:pPr algn="l" rtl="0">
            <a:defRPr sz="1000"/>
          </a:pPr>
          <a:r>
            <a:rPr lang="en-GB" sz="1200" b="1" i="0" u="none" strike="noStrike" baseline="0">
              <a:solidFill>
                <a:srgbClr val="000000"/>
              </a:solidFill>
              <a:latin typeface="Arial Narrow"/>
            </a:rPr>
            <a:t>Tel: </a:t>
          </a:r>
          <a:r>
            <a:rPr lang="en-GB" sz="1200" b="0" i="0" u="none" strike="noStrike" baseline="0">
              <a:solidFill>
                <a:srgbClr val="000000"/>
              </a:solidFill>
              <a:latin typeface="Arial Narrow"/>
            </a:rPr>
            <a:t>01245 46 50 50</a:t>
          </a:r>
          <a:r>
            <a:rPr lang="en-GB" sz="1200" b="1" i="0" u="none" strike="noStrike" baseline="0">
              <a:solidFill>
                <a:srgbClr val="000000"/>
              </a:solidFill>
              <a:latin typeface="Arial Narrow"/>
            </a:rPr>
            <a:t> Fax: </a:t>
          </a:r>
          <a:r>
            <a:rPr lang="en-GB" sz="1200" b="0" i="0" u="none" strike="noStrike" baseline="0">
              <a:solidFill>
                <a:srgbClr val="000000"/>
              </a:solidFill>
              <a:latin typeface="Arial Narrow"/>
            </a:rPr>
            <a:t>01245 46 50 51 </a:t>
          </a:r>
          <a:r>
            <a:rPr lang="en-GB" sz="1200" b="1" i="0" u="none" strike="noStrike" baseline="0">
              <a:solidFill>
                <a:srgbClr val="000000"/>
              </a:solidFill>
              <a:latin typeface="Arial Narrow"/>
            </a:rPr>
            <a:t>Email: </a:t>
          </a:r>
          <a:r>
            <a:rPr lang="en-GB" sz="1200" b="0" i="0" u="none" strike="noStrike" baseline="0">
              <a:solidFill>
                <a:srgbClr val="000000"/>
              </a:solidFill>
              <a:latin typeface="Arial Narrow"/>
            </a:rPr>
            <a:t>info@grinders.co.uk </a:t>
          </a:r>
          <a:r>
            <a:rPr lang="en-GB" sz="1200" b="1" i="0" u="none" strike="noStrike" baseline="0">
              <a:solidFill>
                <a:srgbClr val="000000"/>
              </a:solidFill>
              <a:latin typeface="Arial Narrow"/>
            </a:rPr>
            <a:t>WWW: </a:t>
          </a:r>
          <a:r>
            <a:rPr lang="en-GB" sz="1200" b="0" i="0" u="none" strike="noStrike" baseline="0">
              <a:solidFill>
                <a:srgbClr val="000000"/>
              </a:solidFill>
              <a:latin typeface="Arial Narrow"/>
            </a:rPr>
            <a:t>www.grinders.co.uk</a:t>
          </a:r>
          <a:endParaRPr lang="en-GB"/>
        </a:p>
      </xdr:txBody>
    </xdr:sp>
    <xdr:clientData/>
  </xdr:twoCellAnchor>
  <xdr:twoCellAnchor>
    <xdr:from>
      <xdr:col>0</xdr:col>
      <xdr:colOff>104775</xdr:colOff>
      <xdr:row>0</xdr:row>
      <xdr:rowOff>809625</xdr:rowOff>
    </xdr:from>
    <xdr:to>
      <xdr:col>13</xdr:col>
      <xdr:colOff>600075</xdr:colOff>
      <xdr:row>0</xdr:row>
      <xdr:rowOff>809625</xdr:rowOff>
    </xdr:to>
    <xdr:sp macro="" textlink="">
      <xdr:nvSpPr>
        <xdr:cNvPr id="3089" name="Line 17">
          <a:extLst>
            <a:ext uri="{FF2B5EF4-FFF2-40B4-BE49-F238E27FC236}">
              <a16:creationId xmlns:a16="http://schemas.microsoft.com/office/drawing/2014/main" id="{00000000-0008-0000-0200-0000110C0000}"/>
            </a:ext>
          </a:extLst>
        </xdr:cNvPr>
        <xdr:cNvSpPr>
          <a:spLocks noChangeShapeType="1"/>
        </xdr:cNvSpPr>
      </xdr:nvSpPr>
      <xdr:spPr bwMode="auto">
        <a:xfrm>
          <a:off x="104775" y="809625"/>
          <a:ext cx="77628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13</xdr:col>
      <xdr:colOff>152400</xdr:colOff>
      <xdr:row>0</xdr:row>
      <xdr:rowOff>619125</xdr:rowOff>
    </xdr:from>
    <xdr:ext cx="466725" cy="200025"/>
    <xdr:sp macro="" textlink="">
      <xdr:nvSpPr>
        <xdr:cNvPr id="3090" name="Text Box 18">
          <a:extLst>
            <a:ext uri="{FF2B5EF4-FFF2-40B4-BE49-F238E27FC236}">
              <a16:creationId xmlns:a16="http://schemas.microsoft.com/office/drawing/2014/main" id="{00000000-0008-0000-0200-0000120C0000}"/>
            </a:ext>
          </a:extLst>
        </xdr:cNvPr>
        <xdr:cNvSpPr txBox="1">
          <a:spLocks noChangeArrowheads="1"/>
        </xdr:cNvSpPr>
      </xdr:nvSpPr>
      <xdr:spPr bwMode="auto">
        <a:xfrm>
          <a:off x="7419975" y="619125"/>
          <a:ext cx="4667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GB" sz="1000" b="0" i="0" u="none" strike="noStrike" baseline="0">
              <a:solidFill>
                <a:srgbClr val="000000"/>
              </a:solidFill>
              <a:latin typeface="Arial"/>
              <a:cs typeface="Arial"/>
            </a:rPr>
            <a:t>Page 3</a:t>
          </a:r>
          <a:endParaRPr lang="en-GB"/>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489"/>
  <sheetViews>
    <sheetView tabSelected="1" showWhiteSpace="0" topLeftCell="A10" zoomScaleNormal="100" zoomScalePageLayoutView="115" workbookViewId="0">
      <selection activeCell="A12" sqref="A12"/>
    </sheetView>
  </sheetViews>
  <sheetFormatPr defaultRowHeight="12.75" x14ac:dyDescent="0.2"/>
  <cols>
    <col min="1" max="1" width="58.42578125" customWidth="1"/>
    <col min="2" max="2" width="13.42578125" style="11" customWidth="1"/>
    <col min="3" max="3" width="15.5703125" style="38" customWidth="1"/>
    <col min="4" max="4" width="27.42578125" style="11" customWidth="1"/>
    <col min="5" max="5" width="10.42578125" style="11" customWidth="1"/>
    <col min="6" max="6" width="11.42578125" style="5" customWidth="1"/>
    <col min="7" max="7" width="14.42578125" style="5" customWidth="1"/>
    <col min="8" max="8" width="8.5703125" style="5" customWidth="1"/>
    <col min="9" max="10" width="9.42578125" style="5" customWidth="1"/>
    <col min="11" max="11" width="14.140625" style="5" customWidth="1"/>
    <col min="12" max="12" width="9.5703125" style="5" hidden="1" customWidth="1"/>
    <col min="13" max="14" width="8.42578125" style="5" customWidth="1"/>
    <col min="15" max="15" width="14.5703125" style="5" customWidth="1"/>
    <col min="16" max="22" width="4.140625" style="5" customWidth="1"/>
    <col min="23" max="26" width="4.42578125" style="5" customWidth="1"/>
    <col min="27" max="27" width="9.5703125" style="5" customWidth="1"/>
    <col min="28" max="28" width="9.42578125" style="5" customWidth="1"/>
    <col min="29" max="29" width="20.140625" style="26" bestFit="1" customWidth="1"/>
    <col min="30" max="30" width="29.42578125" style="26" bestFit="1" customWidth="1"/>
    <col min="31" max="31" width="17.85546875" style="26" customWidth="1"/>
    <col min="32" max="32" width="22" style="5" hidden="1" customWidth="1"/>
    <col min="33" max="33" width="26.42578125" style="8" hidden="1" customWidth="1"/>
    <col min="34" max="34" width="14.140625" style="5" customWidth="1"/>
    <col min="35" max="35" width="16.85546875" style="5" customWidth="1"/>
    <col min="36" max="36" width="14.140625" style="5" customWidth="1"/>
    <col min="37" max="37" width="21.5703125" style="5" customWidth="1"/>
    <col min="38" max="38" width="27.5703125" customWidth="1"/>
    <col min="39" max="39" width="13.42578125" style="22" hidden="1" customWidth="1"/>
    <col min="40" max="40" width="15.5703125" style="22" hidden="1" customWidth="1"/>
    <col min="41" max="42" width="13.5703125" style="22" hidden="1" customWidth="1"/>
    <col min="43" max="43" width="15.85546875" style="22" hidden="1" customWidth="1"/>
    <col min="44" max="44" width="13.85546875" style="22" hidden="1" customWidth="1"/>
    <col min="45" max="46" width="9.140625" hidden="1" customWidth="1"/>
    <col min="47" max="47" width="8" hidden="1" customWidth="1"/>
    <col min="48" max="48" width="9.7109375" customWidth="1"/>
    <col min="49" max="49" width="26.7109375" bestFit="1" customWidth="1"/>
  </cols>
  <sheetData>
    <row r="1" spans="1:49" ht="121.5" customHeight="1" x14ac:dyDescent="0.2"/>
    <row r="2" spans="1:49" ht="45.75" customHeight="1" thickBot="1" x14ac:dyDescent="0.25">
      <c r="A2" s="34" t="s">
        <v>71</v>
      </c>
    </row>
    <row r="3" spans="1:49" s="1" customFormat="1" ht="69" customHeight="1" thickBot="1" x14ac:dyDescent="0.25">
      <c r="A3" s="62" t="s">
        <v>4</v>
      </c>
      <c r="B3" s="62" t="s">
        <v>5</v>
      </c>
      <c r="C3" s="62" t="s">
        <v>6</v>
      </c>
      <c r="D3" s="63" t="s">
        <v>21</v>
      </c>
      <c r="E3" s="64" t="s">
        <v>23</v>
      </c>
      <c r="F3" s="17" t="s">
        <v>22</v>
      </c>
      <c r="G3" s="17" t="s">
        <v>7</v>
      </c>
      <c r="H3" s="17" t="s">
        <v>8</v>
      </c>
      <c r="I3" s="17" t="s">
        <v>9</v>
      </c>
      <c r="J3" s="62" t="s">
        <v>10</v>
      </c>
      <c r="K3" s="65" t="s">
        <v>60</v>
      </c>
      <c r="L3" s="18"/>
      <c r="M3" s="17" t="s">
        <v>11</v>
      </c>
      <c r="N3" s="17" t="s">
        <v>12</v>
      </c>
      <c r="O3" s="17" t="s">
        <v>13</v>
      </c>
      <c r="P3" s="18">
        <v>36</v>
      </c>
      <c r="Q3" s="18">
        <v>37</v>
      </c>
      <c r="R3" s="18">
        <v>38</v>
      </c>
      <c r="S3" s="18">
        <v>39</v>
      </c>
      <c r="T3" s="18">
        <v>40</v>
      </c>
      <c r="U3" s="18">
        <v>41</v>
      </c>
      <c r="V3" s="18">
        <v>42</v>
      </c>
      <c r="W3" s="18">
        <v>43</v>
      </c>
      <c r="X3" s="18">
        <v>44</v>
      </c>
      <c r="Y3" s="18">
        <v>45</v>
      </c>
      <c r="Z3" s="18">
        <v>46</v>
      </c>
      <c r="AA3" s="18">
        <v>47</v>
      </c>
      <c r="AB3" s="17" t="s">
        <v>14</v>
      </c>
      <c r="AC3" s="17" t="s">
        <v>27</v>
      </c>
      <c r="AD3" s="17" t="s">
        <v>24</v>
      </c>
      <c r="AE3" s="17" t="s">
        <v>81</v>
      </c>
      <c r="AF3" s="18" t="s">
        <v>59</v>
      </c>
      <c r="AG3" s="18" t="s">
        <v>3</v>
      </c>
      <c r="AH3" s="17" t="s">
        <v>73</v>
      </c>
      <c r="AI3" s="17" t="s">
        <v>72</v>
      </c>
      <c r="AJ3" s="17" t="s">
        <v>82</v>
      </c>
      <c r="AK3" s="17" t="s">
        <v>83</v>
      </c>
      <c r="AM3" s="23" t="s">
        <v>25</v>
      </c>
      <c r="AN3" s="23" t="s">
        <v>27</v>
      </c>
      <c r="AO3" s="23" t="s">
        <v>26</v>
      </c>
      <c r="AP3" s="23" t="s">
        <v>24</v>
      </c>
      <c r="AQ3" s="23" t="s">
        <v>28</v>
      </c>
      <c r="AR3" s="23" t="s">
        <v>29</v>
      </c>
      <c r="AU3" s="1" t="s">
        <v>56</v>
      </c>
      <c r="AV3" s="1" t="s">
        <v>57</v>
      </c>
      <c r="AW3" s="80" t="s">
        <v>78</v>
      </c>
    </row>
    <row r="4" spans="1:49" ht="99" customHeight="1" thickTop="1" x14ac:dyDescent="0.2">
      <c r="A4" s="66" t="s">
        <v>79</v>
      </c>
      <c r="B4" s="67">
        <v>6403400000</v>
      </c>
      <c r="C4" s="67">
        <v>6403400000</v>
      </c>
      <c r="D4" s="56" t="s">
        <v>74</v>
      </c>
      <c r="E4" s="32">
        <v>135532</v>
      </c>
      <c r="F4" s="68" t="s">
        <v>16</v>
      </c>
      <c r="G4" s="70" t="s">
        <v>61</v>
      </c>
      <c r="H4" s="70" t="s">
        <v>17</v>
      </c>
      <c r="I4" s="71" t="s">
        <v>18</v>
      </c>
      <c r="J4" s="44" t="s">
        <v>19</v>
      </c>
      <c r="K4" s="72">
        <v>50</v>
      </c>
      <c r="L4" s="55"/>
      <c r="M4" s="31" t="s">
        <v>36</v>
      </c>
      <c r="N4" s="78" t="s">
        <v>39</v>
      </c>
      <c r="O4" s="44" t="s">
        <v>84</v>
      </c>
      <c r="P4" s="19"/>
      <c r="Q4" s="19"/>
      <c r="R4" s="19">
        <v>10</v>
      </c>
      <c r="S4" s="19">
        <v>15</v>
      </c>
      <c r="T4" s="19">
        <v>25</v>
      </c>
      <c r="U4" s="19">
        <v>50</v>
      </c>
      <c r="V4" s="19">
        <v>65</v>
      </c>
      <c r="W4" s="19">
        <v>60</v>
      </c>
      <c r="X4" s="19">
        <v>35</v>
      </c>
      <c r="Y4" s="19">
        <v>25</v>
      </c>
      <c r="Z4" s="19">
        <v>15</v>
      </c>
      <c r="AA4" s="19"/>
      <c r="AB4" s="21">
        <f>SUM(P4:AA4)</f>
        <v>300</v>
      </c>
      <c r="AC4" s="76">
        <v>607.5</v>
      </c>
      <c r="AD4" s="54">
        <v>667.5</v>
      </c>
      <c r="AE4" s="37">
        <f>AC4+AB4*0.15</f>
        <v>652.5</v>
      </c>
      <c r="AF4" s="33">
        <f>AB4*0.013</f>
        <v>3.9</v>
      </c>
      <c r="AG4" s="33"/>
      <c r="AH4" s="35">
        <v>150</v>
      </c>
      <c r="AI4" s="35">
        <f t="shared" ref="AI4:AI7" si="0">AB4*AH4</f>
        <v>45000</v>
      </c>
      <c r="AJ4" s="35">
        <v>1665.91</v>
      </c>
      <c r="AK4" s="35">
        <v>499775.7</v>
      </c>
      <c r="AL4" s="29"/>
      <c r="AM4" s="37">
        <v>1.9</v>
      </c>
      <c r="AN4" s="22">
        <f t="shared" ref="AN4:AN7" si="1">AB4*AM4</f>
        <v>570</v>
      </c>
      <c r="AO4" s="22">
        <v>2.3039999999999998</v>
      </c>
      <c r="AP4" s="22">
        <f t="shared" ref="AP4:AP7" si="2">AB4*AO4</f>
        <v>691.19999999999993</v>
      </c>
      <c r="AQ4" s="22">
        <f>AM4+0.3</f>
        <v>2.1999999999999997</v>
      </c>
      <c r="AR4" s="22">
        <f t="shared" ref="AR4:AR7" si="3">AB4*AQ4</f>
        <v>659.99999999999989</v>
      </c>
      <c r="AS4">
        <v>0.3</v>
      </c>
      <c r="AU4">
        <f t="shared" ref="AU4:AU7" si="4">AB4/10</f>
        <v>30</v>
      </c>
      <c r="AV4">
        <v>11.1061</v>
      </c>
      <c r="AW4" s="81">
        <v>3.859</v>
      </c>
    </row>
    <row r="5" spans="1:49" ht="90" x14ac:dyDescent="0.2">
      <c r="A5" s="73" t="s">
        <v>80</v>
      </c>
      <c r="B5" s="32">
        <v>6403400000</v>
      </c>
      <c r="C5" s="32">
        <v>6403400000</v>
      </c>
      <c r="D5" s="56" t="s">
        <v>75</v>
      </c>
      <c r="E5" s="32">
        <v>135533</v>
      </c>
      <c r="F5" s="68" t="s">
        <v>16</v>
      </c>
      <c r="G5" s="70" t="s">
        <v>37</v>
      </c>
      <c r="H5" s="70" t="s">
        <v>17</v>
      </c>
      <c r="I5" s="71" t="s">
        <v>18</v>
      </c>
      <c r="J5" s="44" t="s">
        <v>19</v>
      </c>
      <c r="K5" s="19">
        <v>50</v>
      </c>
      <c r="L5" s="55"/>
      <c r="M5" s="31" t="s">
        <v>36</v>
      </c>
      <c r="N5" s="44" t="s">
        <v>20</v>
      </c>
      <c r="O5" s="44" t="s">
        <v>84</v>
      </c>
      <c r="P5" s="19"/>
      <c r="Q5" s="19"/>
      <c r="R5" s="19">
        <v>15</v>
      </c>
      <c r="S5" s="19">
        <v>20</v>
      </c>
      <c r="T5" s="19">
        <v>25</v>
      </c>
      <c r="U5" s="19">
        <v>45</v>
      </c>
      <c r="V5" s="19">
        <v>65</v>
      </c>
      <c r="W5" s="19">
        <v>55</v>
      </c>
      <c r="X5" s="19">
        <v>35</v>
      </c>
      <c r="Y5" s="19">
        <v>25</v>
      </c>
      <c r="Z5" s="19">
        <v>15</v>
      </c>
      <c r="AA5" s="19"/>
      <c r="AB5" s="21">
        <v>300</v>
      </c>
      <c r="AC5" s="76">
        <v>637.5</v>
      </c>
      <c r="AD5" s="54">
        <v>697.5</v>
      </c>
      <c r="AE5" s="37">
        <f t="shared" ref="AE5:AE7" si="5">AC5+AB5*0.15</f>
        <v>682.5</v>
      </c>
      <c r="AF5" s="33">
        <f>AB5*0.013</f>
        <v>3.9</v>
      </c>
      <c r="AG5" s="33"/>
      <c r="AH5" s="35">
        <v>170</v>
      </c>
      <c r="AI5" s="35">
        <f t="shared" si="0"/>
        <v>51000</v>
      </c>
      <c r="AJ5" s="35">
        <v>1888.04</v>
      </c>
      <c r="AK5" s="35">
        <f t="shared" ref="AK5:AK7" si="6">AB5*AJ5</f>
        <v>566412</v>
      </c>
      <c r="AL5" s="29"/>
      <c r="AM5" s="37">
        <v>1.9</v>
      </c>
      <c r="AN5" s="22">
        <f t="shared" si="1"/>
        <v>570</v>
      </c>
      <c r="AO5" s="22">
        <v>2.3039999999999998</v>
      </c>
      <c r="AP5" s="22">
        <f t="shared" si="2"/>
        <v>691.19999999999993</v>
      </c>
      <c r="AQ5" s="22">
        <f t="shared" ref="AQ5:AQ7" si="7">AM5+0.3</f>
        <v>2.1999999999999997</v>
      </c>
      <c r="AR5" s="22">
        <f t="shared" si="3"/>
        <v>659.99999999999989</v>
      </c>
      <c r="AS5">
        <v>0.3</v>
      </c>
      <c r="AU5">
        <f t="shared" si="4"/>
        <v>30</v>
      </c>
      <c r="AW5" s="22">
        <v>3.859</v>
      </c>
    </row>
    <row r="6" spans="1:49" s="61" customFormat="1" ht="88.5" customHeight="1" x14ac:dyDescent="0.2">
      <c r="A6" s="73" t="s">
        <v>80</v>
      </c>
      <c r="B6" s="32">
        <v>6403400000</v>
      </c>
      <c r="C6" s="32">
        <v>6403400000</v>
      </c>
      <c r="D6" s="56" t="s">
        <v>76</v>
      </c>
      <c r="E6" s="32">
        <v>135534</v>
      </c>
      <c r="F6" s="74" t="s">
        <v>16</v>
      </c>
      <c r="G6" s="70" t="s">
        <v>37</v>
      </c>
      <c r="H6" s="70" t="s">
        <v>17</v>
      </c>
      <c r="I6" s="75" t="s">
        <v>18</v>
      </c>
      <c r="J6" s="44" t="s">
        <v>19</v>
      </c>
      <c r="K6" s="32">
        <v>50</v>
      </c>
      <c r="L6" s="58"/>
      <c r="M6" s="31" t="s">
        <v>36</v>
      </c>
      <c r="N6" s="56" t="s">
        <v>20</v>
      </c>
      <c r="O6" s="44" t="s">
        <v>84</v>
      </c>
      <c r="P6" s="32"/>
      <c r="Q6" s="32"/>
      <c r="R6" s="32">
        <v>15</v>
      </c>
      <c r="S6" s="32">
        <v>20</v>
      </c>
      <c r="T6" s="32">
        <v>25</v>
      </c>
      <c r="U6" s="32">
        <v>45</v>
      </c>
      <c r="V6" s="32">
        <v>65</v>
      </c>
      <c r="W6" s="32">
        <v>55</v>
      </c>
      <c r="X6" s="32">
        <v>35</v>
      </c>
      <c r="Y6" s="32">
        <v>25</v>
      </c>
      <c r="Z6" s="32">
        <v>15</v>
      </c>
      <c r="AA6" s="32"/>
      <c r="AB6" s="54">
        <v>300</v>
      </c>
      <c r="AC6" s="76">
        <v>637.5</v>
      </c>
      <c r="AD6" s="54">
        <v>697.5</v>
      </c>
      <c r="AE6" s="37">
        <f t="shared" si="5"/>
        <v>682.5</v>
      </c>
      <c r="AF6" s="33">
        <f t="shared" ref="AF6:AF7" si="8">AB6*0.01625</f>
        <v>4.875</v>
      </c>
      <c r="AG6" s="33"/>
      <c r="AH6" s="35">
        <v>180</v>
      </c>
      <c r="AI6" s="35">
        <f t="shared" si="0"/>
        <v>54000</v>
      </c>
      <c r="AJ6" s="35">
        <v>1999.1</v>
      </c>
      <c r="AK6" s="35">
        <f t="shared" si="6"/>
        <v>599730</v>
      </c>
      <c r="AL6" s="59"/>
      <c r="AM6" s="37">
        <v>1.9</v>
      </c>
      <c r="AN6" s="60">
        <f t="shared" si="1"/>
        <v>570</v>
      </c>
      <c r="AO6" s="60">
        <v>2.3039999999999998</v>
      </c>
      <c r="AP6" s="60">
        <f t="shared" si="2"/>
        <v>691.19999999999993</v>
      </c>
      <c r="AQ6" s="60">
        <f t="shared" si="7"/>
        <v>2.1999999999999997</v>
      </c>
      <c r="AR6" s="60">
        <f t="shared" si="3"/>
        <v>659.99999999999989</v>
      </c>
      <c r="AS6" s="61">
        <v>0.3</v>
      </c>
      <c r="AU6" s="61">
        <f t="shared" si="4"/>
        <v>30</v>
      </c>
      <c r="AW6" s="60">
        <v>3.859</v>
      </c>
    </row>
    <row r="7" spans="1:49" ht="93" customHeight="1" thickBot="1" x14ac:dyDescent="0.25">
      <c r="A7" s="73" t="s">
        <v>80</v>
      </c>
      <c r="B7" s="32">
        <v>6403400000</v>
      </c>
      <c r="C7" s="32">
        <v>6403400000</v>
      </c>
      <c r="D7" s="56" t="s">
        <v>77</v>
      </c>
      <c r="E7" s="32">
        <v>135662</v>
      </c>
      <c r="F7" s="68" t="s">
        <v>16</v>
      </c>
      <c r="G7" s="69" t="s">
        <v>37</v>
      </c>
      <c r="H7" s="70" t="s">
        <v>17</v>
      </c>
      <c r="I7" s="71" t="s">
        <v>18</v>
      </c>
      <c r="J7" s="44" t="s">
        <v>19</v>
      </c>
      <c r="K7" s="19">
        <v>50</v>
      </c>
      <c r="L7" s="55"/>
      <c r="M7" s="20" t="s">
        <v>36</v>
      </c>
      <c r="N7" s="79" t="s">
        <v>20</v>
      </c>
      <c r="O7" s="44" t="s">
        <v>84</v>
      </c>
      <c r="P7" s="19"/>
      <c r="Q7" s="19"/>
      <c r="R7" s="19">
        <v>15</v>
      </c>
      <c r="S7" s="19">
        <v>20</v>
      </c>
      <c r="T7" s="19">
        <v>25</v>
      </c>
      <c r="U7" s="19">
        <v>45</v>
      </c>
      <c r="V7" s="19">
        <v>65</v>
      </c>
      <c r="W7" s="19">
        <v>55</v>
      </c>
      <c r="X7" s="19">
        <v>35</v>
      </c>
      <c r="Y7" s="19">
        <v>25</v>
      </c>
      <c r="Z7" s="19">
        <v>15</v>
      </c>
      <c r="AA7" s="19"/>
      <c r="AB7" s="21">
        <v>300</v>
      </c>
      <c r="AC7" s="76">
        <v>637.5</v>
      </c>
      <c r="AD7" s="54">
        <v>697.5</v>
      </c>
      <c r="AE7" s="37">
        <f t="shared" si="5"/>
        <v>682.5</v>
      </c>
      <c r="AF7" s="33">
        <f t="shared" si="8"/>
        <v>4.875</v>
      </c>
      <c r="AG7" s="33"/>
      <c r="AH7" s="35">
        <v>190</v>
      </c>
      <c r="AI7" s="35">
        <f t="shared" si="0"/>
        <v>57000</v>
      </c>
      <c r="AJ7" s="35">
        <v>2110.15</v>
      </c>
      <c r="AK7" s="35">
        <f t="shared" si="6"/>
        <v>633045</v>
      </c>
      <c r="AL7" s="29"/>
      <c r="AM7" s="37">
        <v>1.9</v>
      </c>
      <c r="AN7" s="22">
        <f t="shared" si="1"/>
        <v>570</v>
      </c>
      <c r="AO7" s="22">
        <v>2.3039999999999998</v>
      </c>
      <c r="AP7" s="22">
        <f t="shared" si="2"/>
        <v>691.19999999999993</v>
      </c>
      <c r="AQ7" s="22">
        <f t="shared" si="7"/>
        <v>2.1999999999999997</v>
      </c>
      <c r="AR7" s="22">
        <f t="shared" si="3"/>
        <v>659.99999999999989</v>
      </c>
      <c r="AS7">
        <v>0.3</v>
      </c>
      <c r="AU7">
        <f t="shared" si="4"/>
        <v>30</v>
      </c>
      <c r="AW7" s="22">
        <v>3.859</v>
      </c>
    </row>
    <row r="8" spans="1:49" ht="34.5" customHeight="1" thickBot="1" x14ac:dyDescent="0.25">
      <c r="A8" s="85" t="s">
        <v>15</v>
      </c>
      <c r="B8" s="86"/>
      <c r="C8" s="86"/>
      <c r="D8" s="87"/>
      <c r="E8" s="87"/>
      <c r="F8" s="86"/>
      <c r="G8" s="86"/>
      <c r="H8" s="86"/>
      <c r="I8" s="86"/>
      <c r="J8" s="86"/>
      <c r="K8" s="87"/>
      <c r="L8" s="86"/>
      <c r="M8" s="86"/>
      <c r="N8" s="86"/>
      <c r="O8" s="86"/>
      <c r="P8" s="86"/>
      <c r="Q8" s="86"/>
      <c r="R8" s="86"/>
      <c r="S8" s="86"/>
      <c r="T8" s="86"/>
      <c r="U8" s="86"/>
      <c r="V8" s="86"/>
      <c r="W8" s="86"/>
      <c r="X8" s="86"/>
      <c r="Y8" s="86"/>
      <c r="Z8" s="86"/>
      <c r="AA8" s="88"/>
      <c r="AB8" s="47">
        <f>SUM(AB4:AB7)</f>
        <v>1200</v>
      </c>
      <c r="AC8" s="48">
        <f>SUM(AC4:AC7)</f>
        <v>2520</v>
      </c>
      <c r="AD8" s="48">
        <f>SUM(AD4:AD7)</f>
        <v>2760</v>
      </c>
      <c r="AE8" s="48">
        <f>SUM(AE4:AE7)</f>
        <v>2700</v>
      </c>
      <c r="AF8" s="49">
        <f>SUM(AF4:AF7)</f>
        <v>17.55</v>
      </c>
      <c r="AG8" s="49"/>
      <c r="AH8" s="49"/>
      <c r="AI8" s="50">
        <f>SUM(AI4:AI7)</f>
        <v>207000</v>
      </c>
      <c r="AJ8" s="50"/>
      <c r="AK8" s="50">
        <v>2298962.7000000002</v>
      </c>
      <c r="AN8" s="22">
        <f>SUM(AN4:AN7)</f>
        <v>2280</v>
      </c>
      <c r="AP8" s="22">
        <f>SUM(AP4:AP7)</f>
        <v>2764.7999999999997</v>
      </c>
      <c r="AR8" s="22">
        <f>SUM(AR4:AR7)</f>
        <v>2639.9999999999995</v>
      </c>
      <c r="AU8" s="36">
        <f>SUM(AU4:AU7)</f>
        <v>120</v>
      </c>
      <c r="AW8" s="42">
        <f>SUM(AW4:AW7)</f>
        <v>15.436</v>
      </c>
    </row>
    <row r="9" spans="1:49" ht="34.5" customHeight="1" x14ac:dyDescent="0.2">
      <c r="A9" s="90" t="s">
        <v>38</v>
      </c>
      <c r="B9" s="90"/>
      <c r="C9" s="90"/>
      <c r="D9" s="90"/>
      <c r="E9" s="90"/>
      <c r="F9" s="90"/>
      <c r="G9" s="90"/>
      <c r="H9" s="90"/>
      <c r="I9" s="90"/>
      <c r="J9" s="90"/>
      <c r="K9" s="57">
        <f>SUM(K4:K7)</f>
        <v>200</v>
      </c>
      <c r="L9" s="15"/>
      <c r="M9" s="15"/>
      <c r="N9" s="15"/>
      <c r="O9" s="15"/>
      <c r="P9" s="15"/>
      <c r="Q9" s="15"/>
      <c r="R9" s="15"/>
      <c r="S9" s="15"/>
      <c r="T9" s="15"/>
      <c r="U9" s="15"/>
      <c r="V9" s="15"/>
      <c r="W9" s="15"/>
      <c r="X9" s="15"/>
      <c r="Y9" s="15"/>
      <c r="Z9" s="15"/>
      <c r="AA9" s="15"/>
      <c r="AB9" s="15"/>
      <c r="AC9" s="53"/>
      <c r="AD9" s="30"/>
      <c r="AE9" s="27"/>
      <c r="AF9" s="15"/>
      <c r="AG9" s="16"/>
      <c r="AH9" s="15"/>
      <c r="AI9" s="15"/>
      <c r="AJ9" s="15"/>
      <c r="AK9" s="52"/>
      <c r="AN9" s="22">
        <f>SUM(AN4:AN7)</f>
        <v>2280</v>
      </c>
      <c r="AP9" s="22">
        <v>4396</v>
      </c>
      <c r="AR9" s="22">
        <v>4120</v>
      </c>
    </row>
    <row r="10" spans="1:49" ht="34.5" customHeight="1" x14ac:dyDescent="0.2">
      <c r="A10" s="90" t="s">
        <v>58</v>
      </c>
      <c r="B10" s="90"/>
      <c r="C10" s="90"/>
      <c r="D10" s="90"/>
      <c r="E10" s="90"/>
      <c r="F10" s="90"/>
      <c r="G10" s="90"/>
      <c r="H10" s="90"/>
      <c r="I10" s="90"/>
      <c r="J10" s="90"/>
      <c r="K10" s="51"/>
      <c r="R10" s="77"/>
      <c r="AC10" s="28"/>
      <c r="AD10" s="28"/>
      <c r="AE10" s="28"/>
    </row>
    <row r="11" spans="1:49" ht="15.75" x14ac:dyDescent="0.2">
      <c r="A11" s="45" t="s">
        <v>86</v>
      </c>
      <c r="B11" s="46">
        <v>207000</v>
      </c>
      <c r="C11" s="45"/>
      <c r="D11" s="45"/>
      <c r="E11" s="45"/>
      <c r="F11" s="45"/>
      <c r="G11" s="45"/>
      <c r="H11" s="45"/>
      <c r="I11" s="45"/>
      <c r="J11" s="45"/>
      <c r="AC11" s="28"/>
      <c r="AD11" s="28"/>
      <c r="AE11" s="28"/>
    </row>
    <row r="12" spans="1:49" ht="15.75" x14ac:dyDescent="0.2">
      <c r="A12" s="45"/>
      <c r="B12" s="46"/>
      <c r="C12" s="45"/>
      <c r="D12" s="45"/>
      <c r="E12" s="45"/>
      <c r="F12" s="45"/>
      <c r="G12" s="45"/>
      <c r="H12" s="45"/>
      <c r="I12" s="45"/>
      <c r="J12" s="45"/>
      <c r="AC12" s="28"/>
      <c r="AD12" s="28"/>
      <c r="AE12" s="28"/>
    </row>
    <row r="13" spans="1:49" ht="15.75" x14ac:dyDescent="0.2">
      <c r="A13" s="45"/>
      <c r="B13" s="46"/>
      <c r="C13" s="45"/>
      <c r="D13" s="45"/>
      <c r="E13" s="45"/>
      <c r="F13" s="45"/>
      <c r="G13" s="45"/>
      <c r="H13" s="45"/>
      <c r="I13" s="45"/>
      <c r="J13" s="45"/>
      <c r="AC13" s="28"/>
      <c r="AD13" s="28"/>
      <c r="AE13" s="28"/>
    </row>
    <row r="14" spans="1:49" ht="15.75" x14ac:dyDescent="0.2">
      <c r="A14" s="45"/>
      <c r="B14" s="46"/>
      <c r="C14" s="11"/>
    </row>
    <row r="15" spans="1:49" ht="15.75" x14ac:dyDescent="0.2">
      <c r="A15" s="45"/>
      <c r="C15" s="11"/>
    </row>
    <row r="16" spans="1:49" ht="15.95" customHeight="1" x14ac:dyDescent="0.2">
      <c r="A16" s="91" t="s">
        <v>30</v>
      </c>
      <c r="B16" s="91"/>
      <c r="C16" s="91"/>
      <c r="D16" s="91"/>
      <c r="E16" s="91"/>
      <c r="F16" s="91"/>
      <c r="G16" s="91"/>
      <c r="H16" s="91"/>
      <c r="I16" s="91"/>
      <c r="J16" s="91"/>
      <c r="K16" s="91"/>
      <c r="L16" s="91"/>
      <c r="M16" s="91"/>
      <c r="N16" s="91"/>
      <c r="O16" s="91"/>
      <c r="P16" s="89" t="s">
        <v>31</v>
      </c>
      <c r="Q16" s="89"/>
      <c r="R16" s="89"/>
      <c r="S16" s="89"/>
      <c r="T16" s="89"/>
      <c r="U16" s="89"/>
      <c r="V16" s="89"/>
      <c r="W16" s="89"/>
      <c r="X16" s="89"/>
      <c r="Y16" s="89"/>
      <c r="Z16" s="89"/>
      <c r="AA16" s="89"/>
      <c r="AB16" s="89"/>
      <c r="AC16" s="89"/>
      <c r="AD16" s="89"/>
      <c r="AE16" s="89"/>
      <c r="AF16" s="89"/>
      <c r="AG16" s="89"/>
      <c r="AH16" s="89"/>
      <c r="AI16" s="89"/>
      <c r="AJ16" s="89"/>
      <c r="AK16" s="89"/>
    </row>
    <row r="17" spans="1:37" ht="15.95" customHeight="1" x14ac:dyDescent="0.2">
      <c r="A17" s="84" t="s">
        <v>62</v>
      </c>
      <c r="B17" s="84"/>
      <c r="C17" s="84"/>
      <c r="D17" s="84"/>
      <c r="E17" s="84"/>
      <c r="F17" s="84"/>
      <c r="G17" s="84"/>
      <c r="H17" s="84"/>
      <c r="I17" s="84"/>
      <c r="J17" s="84"/>
      <c r="K17" s="84"/>
      <c r="L17" s="84"/>
      <c r="M17" s="84"/>
      <c r="N17" s="84"/>
      <c r="O17" s="84"/>
      <c r="P17" s="82" t="s">
        <v>32</v>
      </c>
      <c r="Q17" s="82"/>
      <c r="R17" s="82"/>
      <c r="S17" s="82"/>
      <c r="T17" s="82"/>
      <c r="U17" s="82"/>
      <c r="V17" s="82"/>
      <c r="W17" s="82"/>
      <c r="X17" s="82"/>
      <c r="Y17" s="82"/>
      <c r="Z17" s="82"/>
      <c r="AA17" s="82"/>
      <c r="AB17" s="82"/>
      <c r="AC17" s="82"/>
      <c r="AD17" s="82"/>
      <c r="AE17" s="82"/>
      <c r="AF17" s="82"/>
      <c r="AG17" s="82"/>
      <c r="AH17" s="82"/>
      <c r="AI17" s="82"/>
      <c r="AJ17" s="82"/>
      <c r="AK17" s="82"/>
    </row>
    <row r="18" spans="1:37" ht="15.95" customHeight="1" x14ac:dyDescent="0.2">
      <c r="A18" s="84" t="s">
        <v>85</v>
      </c>
      <c r="B18" s="84"/>
      <c r="C18" s="84"/>
      <c r="D18" s="84"/>
      <c r="E18" s="84"/>
      <c r="F18" s="84"/>
      <c r="G18" s="84"/>
      <c r="H18" s="84"/>
      <c r="I18" s="84"/>
      <c r="J18" s="84"/>
      <c r="K18" s="84"/>
      <c r="L18" s="84"/>
      <c r="M18" s="84"/>
      <c r="N18" s="84"/>
      <c r="O18" s="84"/>
      <c r="P18" s="82" t="s">
        <v>33</v>
      </c>
      <c r="Q18" s="82"/>
      <c r="R18" s="82"/>
      <c r="S18" s="82"/>
      <c r="T18" s="82"/>
      <c r="U18" s="82"/>
      <c r="V18" s="82"/>
      <c r="W18" s="82"/>
      <c r="X18" s="82"/>
      <c r="Y18" s="82"/>
      <c r="Z18" s="82"/>
      <c r="AA18" s="82"/>
      <c r="AB18" s="82"/>
      <c r="AC18" s="82"/>
      <c r="AD18" s="82"/>
      <c r="AE18" s="82"/>
      <c r="AF18" s="82"/>
      <c r="AG18" s="82"/>
      <c r="AH18" s="82"/>
      <c r="AI18" s="82"/>
      <c r="AJ18" s="82"/>
      <c r="AK18" s="82"/>
    </row>
    <row r="19" spans="1:37" ht="15.95" customHeight="1" x14ac:dyDescent="0.25">
      <c r="A19" s="92" t="s">
        <v>63</v>
      </c>
      <c r="B19" s="92"/>
      <c r="C19" s="92"/>
      <c r="D19" s="92"/>
      <c r="E19" s="92"/>
      <c r="F19" s="92"/>
      <c r="G19" s="92"/>
      <c r="H19" s="92"/>
      <c r="I19" s="92"/>
      <c r="J19" s="92"/>
      <c r="K19" s="92"/>
      <c r="L19" s="92"/>
      <c r="M19" s="92"/>
      <c r="N19" s="92"/>
      <c r="O19" s="92"/>
      <c r="P19" s="82" t="s">
        <v>34</v>
      </c>
      <c r="Q19" s="82"/>
      <c r="R19" s="82"/>
      <c r="S19" s="82"/>
      <c r="T19" s="82"/>
      <c r="U19" s="82"/>
      <c r="V19" s="82"/>
      <c r="W19" s="82"/>
      <c r="X19" s="82"/>
      <c r="Y19" s="82"/>
      <c r="Z19" s="82"/>
      <c r="AA19" s="82"/>
      <c r="AB19" s="82"/>
      <c r="AC19" s="82"/>
      <c r="AD19" s="82"/>
      <c r="AE19" s="82"/>
      <c r="AF19" s="82"/>
      <c r="AG19" s="82"/>
      <c r="AH19" s="82"/>
      <c r="AI19" s="82"/>
      <c r="AJ19" s="82"/>
      <c r="AK19" s="82"/>
    </row>
    <row r="20" spans="1:37" ht="15.95" customHeight="1" x14ac:dyDescent="0.2">
      <c r="A20" s="84" t="s">
        <v>67</v>
      </c>
      <c r="B20" s="84"/>
      <c r="C20" s="84"/>
      <c r="D20" s="84"/>
      <c r="E20" s="84"/>
      <c r="F20" s="84"/>
      <c r="G20" s="84"/>
      <c r="H20" s="84"/>
      <c r="I20" s="84"/>
      <c r="J20" s="84"/>
      <c r="K20" s="84"/>
      <c r="L20" s="84"/>
      <c r="M20" s="84"/>
      <c r="N20" s="84"/>
      <c r="O20" s="84"/>
      <c r="P20" s="82" t="s">
        <v>64</v>
      </c>
      <c r="Q20" s="82"/>
      <c r="R20" s="82"/>
      <c r="S20" s="82"/>
      <c r="T20" s="82"/>
      <c r="U20" s="82"/>
      <c r="V20" s="82"/>
      <c r="W20" s="82"/>
      <c r="X20" s="82"/>
      <c r="Y20" s="82"/>
      <c r="Z20" s="82"/>
      <c r="AA20" s="82"/>
      <c r="AB20" s="82"/>
      <c r="AC20" s="82"/>
      <c r="AD20" s="82"/>
      <c r="AE20" s="82"/>
      <c r="AF20" s="82"/>
      <c r="AG20" s="82"/>
      <c r="AH20" s="82"/>
      <c r="AI20" s="82"/>
      <c r="AJ20" s="82"/>
      <c r="AK20" s="82"/>
    </row>
    <row r="21" spans="1:37" ht="15.95" customHeight="1" x14ac:dyDescent="0.2">
      <c r="A21" s="84" t="s">
        <v>68</v>
      </c>
      <c r="B21" s="84"/>
      <c r="C21" s="84"/>
      <c r="D21" s="84"/>
      <c r="E21" s="84"/>
      <c r="F21" s="84"/>
      <c r="G21" s="84"/>
      <c r="H21" s="84"/>
      <c r="I21" s="84"/>
      <c r="J21" s="84"/>
      <c r="K21" s="84"/>
      <c r="L21" s="84"/>
      <c r="M21" s="84"/>
      <c r="N21" s="84"/>
      <c r="O21" s="84"/>
      <c r="P21" s="82" t="s">
        <v>65</v>
      </c>
      <c r="Q21" s="82"/>
      <c r="R21" s="82"/>
      <c r="S21" s="82"/>
      <c r="T21" s="82"/>
      <c r="U21" s="82"/>
      <c r="V21" s="82"/>
      <c r="W21" s="82"/>
      <c r="X21" s="82"/>
      <c r="Y21" s="82"/>
      <c r="Z21" s="82"/>
      <c r="AA21" s="82"/>
      <c r="AB21" s="82"/>
      <c r="AC21" s="82"/>
      <c r="AD21" s="82"/>
      <c r="AE21" s="82"/>
      <c r="AF21" s="82"/>
      <c r="AG21" s="82"/>
      <c r="AH21" s="82"/>
      <c r="AI21" s="82"/>
      <c r="AJ21" s="82"/>
      <c r="AK21" s="82"/>
    </row>
    <row r="22" spans="1:37" ht="15.95" customHeight="1" x14ac:dyDescent="0.2">
      <c r="A22" s="84" t="s">
        <v>69</v>
      </c>
      <c r="B22" s="84"/>
      <c r="C22" s="84"/>
      <c r="D22" s="84"/>
      <c r="E22" s="84"/>
      <c r="F22" s="84"/>
      <c r="G22" s="84"/>
      <c r="H22" s="84"/>
      <c r="I22" s="84"/>
      <c r="J22" s="84"/>
      <c r="K22" s="84"/>
      <c r="L22" s="84"/>
      <c r="M22" s="84"/>
      <c r="N22" s="84"/>
      <c r="O22" s="84"/>
      <c r="P22" s="82" t="s">
        <v>66</v>
      </c>
      <c r="Q22" s="82"/>
      <c r="R22" s="82"/>
      <c r="S22" s="82"/>
      <c r="T22" s="82"/>
      <c r="U22" s="82"/>
      <c r="V22" s="82"/>
      <c r="W22" s="82"/>
      <c r="X22" s="82"/>
      <c r="Y22" s="82"/>
      <c r="Z22" s="82"/>
      <c r="AA22" s="82"/>
      <c r="AB22" s="82"/>
      <c r="AC22" s="82"/>
      <c r="AD22" s="82"/>
      <c r="AE22" s="82"/>
      <c r="AF22" s="82"/>
      <c r="AG22" s="82"/>
      <c r="AH22" s="82"/>
      <c r="AI22" s="82"/>
      <c r="AJ22" s="82"/>
      <c r="AK22" s="82"/>
    </row>
    <row r="23" spans="1:37" ht="15.95" customHeight="1" x14ac:dyDescent="0.2">
      <c r="A23" s="83"/>
      <c r="B23" s="83"/>
      <c r="C23" s="83"/>
      <c r="D23" s="83"/>
      <c r="E23" s="83"/>
      <c r="F23" s="83"/>
      <c r="G23" s="83"/>
      <c r="H23" s="83"/>
      <c r="I23" s="83"/>
      <c r="J23" s="83"/>
      <c r="K23" s="83"/>
      <c r="L23" s="83"/>
      <c r="M23" s="83"/>
      <c r="N23" s="83"/>
      <c r="O23" s="83"/>
      <c r="P23" s="82"/>
      <c r="Q23" s="82"/>
      <c r="R23" s="82"/>
      <c r="S23" s="82"/>
      <c r="T23" s="82"/>
      <c r="U23" s="82"/>
      <c r="V23" s="82"/>
      <c r="W23" s="82"/>
      <c r="X23" s="82"/>
      <c r="Y23" s="82"/>
      <c r="Z23" s="82"/>
      <c r="AA23" s="82"/>
      <c r="AB23" s="82"/>
      <c r="AC23" s="82"/>
      <c r="AD23" s="82"/>
      <c r="AE23" s="82"/>
      <c r="AF23" s="82"/>
      <c r="AG23" s="82"/>
      <c r="AH23" s="82"/>
      <c r="AI23" s="82"/>
      <c r="AJ23" s="82"/>
      <c r="AK23" s="82"/>
    </row>
    <row r="24" spans="1:37" ht="15.95" customHeight="1" x14ac:dyDescent="0.2">
      <c r="A24" s="25"/>
      <c r="B24" s="24"/>
      <c r="C24" s="39"/>
      <c r="D24" s="24"/>
      <c r="E24" s="24"/>
    </row>
    <row r="25" spans="1:37" ht="15.95" customHeight="1" x14ac:dyDescent="0.2">
      <c r="A25" s="25"/>
      <c r="B25" s="24"/>
      <c r="C25" s="39"/>
      <c r="D25" s="24"/>
      <c r="E25" s="24"/>
    </row>
    <row r="26" spans="1:37" ht="15.95" customHeight="1" x14ac:dyDescent="0.2">
      <c r="A26" s="84" t="s">
        <v>70</v>
      </c>
      <c r="B26" s="84"/>
      <c r="C26" s="84"/>
      <c r="D26" s="84"/>
      <c r="E26" s="84"/>
      <c r="F26" s="84"/>
      <c r="G26" s="84"/>
      <c r="H26" s="84"/>
      <c r="I26" s="84"/>
      <c r="J26" s="84"/>
      <c r="K26" s="84"/>
      <c r="L26" s="84"/>
      <c r="M26" s="84"/>
      <c r="N26" s="84"/>
      <c r="O26" s="84"/>
      <c r="P26" s="82" t="s">
        <v>35</v>
      </c>
      <c r="Q26" s="82"/>
      <c r="R26" s="82"/>
      <c r="S26" s="82"/>
      <c r="T26" s="82"/>
      <c r="U26" s="82"/>
      <c r="V26" s="82"/>
      <c r="W26" s="82"/>
      <c r="X26" s="82"/>
      <c r="Y26" s="82"/>
      <c r="Z26" s="82"/>
      <c r="AA26" s="82"/>
      <c r="AB26" s="82"/>
      <c r="AC26" s="82"/>
      <c r="AD26" s="82"/>
      <c r="AE26" s="82"/>
      <c r="AF26" s="82"/>
      <c r="AG26" s="82"/>
      <c r="AH26" s="82"/>
      <c r="AI26" s="82"/>
      <c r="AJ26" s="82"/>
      <c r="AK26" s="82"/>
    </row>
    <row r="27" spans="1:37" ht="15.95" customHeight="1" x14ac:dyDescent="0.2"/>
    <row r="28" spans="1:37" ht="15.95" customHeight="1" x14ac:dyDescent="0.2"/>
    <row r="29" spans="1:37" ht="15.95" customHeight="1" x14ac:dyDescent="0.2"/>
    <row r="30" spans="1:37" ht="15.95" customHeight="1" x14ac:dyDescent="0.2"/>
    <row r="31" spans="1:37" ht="15.95" customHeight="1" x14ac:dyDescent="0.2"/>
    <row r="32" spans="1:37" ht="15.95" customHeight="1" x14ac:dyDescent="0.2"/>
    <row r="33" ht="15.95" customHeight="1" x14ac:dyDescent="0.2"/>
    <row r="34" ht="15.95" customHeight="1" x14ac:dyDescent="0.2"/>
    <row r="35" ht="15.95" customHeight="1" x14ac:dyDescent="0.2"/>
    <row r="36" ht="15.95" customHeight="1" x14ac:dyDescent="0.2"/>
    <row r="37" ht="15.95" customHeight="1" x14ac:dyDescent="0.2"/>
    <row r="38" ht="15.95" customHeight="1" x14ac:dyDescent="0.2"/>
    <row r="39" ht="15.95" customHeight="1" x14ac:dyDescent="0.2"/>
    <row r="40" ht="15.95" customHeight="1" x14ac:dyDescent="0.2"/>
    <row r="41" ht="15.95" customHeight="1" x14ac:dyDescent="0.2"/>
    <row r="42" ht="15.95" customHeight="1" x14ac:dyDescent="0.2"/>
    <row r="43" ht="15.95" customHeight="1" x14ac:dyDescent="0.2"/>
    <row r="44" ht="15.95" customHeight="1" x14ac:dyDescent="0.2"/>
    <row r="45" ht="15.95" customHeight="1" x14ac:dyDescent="0.2"/>
    <row r="46" ht="15.95" customHeight="1" x14ac:dyDescent="0.2"/>
    <row r="47" ht="15.95" customHeight="1" x14ac:dyDescent="0.2"/>
    <row r="48" ht="15.95" customHeight="1" x14ac:dyDescent="0.2"/>
    <row r="49" ht="15.95" customHeight="1" x14ac:dyDescent="0.2"/>
    <row r="50" ht="15.95" customHeight="1" x14ac:dyDescent="0.2"/>
    <row r="51" ht="15.95" customHeight="1" x14ac:dyDescent="0.2"/>
    <row r="52" ht="15.95" customHeight="1" x14ac:dyDescent="0.2"/>
    <row r="53" ht="15.95" customHeight="1" x14ac:dyDescent="0.2"/>
    <row r="54" ht="15.95" customHeight="1" x14ac:dyDescent="0.2"/>
    <row r="55" ht="15.95" customHeight="1" x14ac:dyDescent="0.2"/>
    <row r="56" ht="15.95" customHeight="1" x14ac:dyDescent="0.2"/>
    <row r="57" ht="15.95" customHeight="1" x14ac:dyDescent="0.2"/>
    <row r="58" ht="15.95" customHeight="1" x14ac:dyDescent="0.2"/>
    <row r="59" ht="15.95" customHeight="1" x14ac:dyDescent="0.2"/>
    <row r="60" ht="15.95" customHeight="1" x14ac:dyDescent="0.2"/>
    <row r="61" ht="15.95" customHeight="1" x14ac:dyDescent="0.2"/>
    <row r="62" ht="15.95" customHeight="1" x14ac:dyDescent="0.2"/>
    <row r="63" ht="15.95" customHeight="1" x14ac:dyDescent="0.2"/>
    <row r="64" ht="15.95" customHeight="1" x14ac:dyDescent="0.2"/>
    <row r="65" ht="15.95" customHeight="1" x14ac:dyDescent="0.2"/>
    <row r="66" ht="15.95" customHeight="1" x14ac:dyDescent="0.2"/>
    <row r="67" ht="15.95" customHeight="1" x14ac:dyDescent="0.2"/>
    <row r="68" ht="15.95" customHeight="1" x14ac:dyDescent="0.2"/>
    <row r="69" ht="15.95" customHeight="1" x14ac:dyDescent="0.2"/>
    <row r="70" ht="15.95" customHeight="1" x14ac:dyDescent="0.2"/>
    <row r="71" ht="15.95" customHeight="1" x14ac:dyDescent="0.2"/>
    <row r="72" ht="15.95" customHeight="1" x14ac:dyDescent="0.2"/>
    <row r="73" ht="15.95" customHeight="1" x14ac:dyDescent="0.2"/>
    <row r="74" ht="15.95" customHeight="1" x14ac:dyDescent="0.2"/>
    <row r="75" ht="15.95" customHeight="1" x14ac:dyDescent="0.2"/>
    <row r="76" ht="15.95" customHeight="1" x14ac:dyDescent="0.2"/>
    <row r="77" ht="15.95" customHeight="1" x14ac:dyDescent="0.2"/>
    <row r="78" ht="15.95" customHeight="1" x14ac:dyDescent="0.2"/>
    <row r="79" ht="15.95" customHeight="1" x14ac:dyDescent="0.2"/>
    <row r="80" ht="15.95" customHeight="1" x14ac:dyDescent="0.2"/>
    <row r="81" ht="15.95" customHeight="1" x14ac:dyDescent="0.2"/>
    <row r="82" ht="15.95" customHeight="1" x14ac:dyDescent="0.2"/>
    <row r="83" ht="15.95" customHeight="1" x14ac:dyDescent="0.2"/>
    <row r="84" ht="15.95" customHeight="1" x14ac:dyDescent="0.2"/>
    <row r="85" ht="15.95" customHeight="1" x14ac:dyDescent="0.2"/>
    <row r="86" ht="15.95" customHeight="1" x14ac:dyDescent="0.2"/>
    <row r="87" ht="15.95" customHeight="1" x14ac:dyDescent="0.2"/>
    <row r="88" ht="15.95" customHeight="1" x14ac:dyDescent="0.2"/>
    <row r="89" ht="15.95" customHeight="1" x14ac:dyDescent="0.2"/>
    <row r="90" ht="15.95" customHeight="1" x14ac:dyDescent="0.2"/>
    <row r="91" ht="15.95" customHeight="1" x14ac:dyDescent="0.2"/>
    <row r="92" ht="15.95" customHeight="1" x14ac:dyDescent="0.2"/>
    <row r="93" ht="15.95" customHeight="1" x14ac:dyDescent="0.2"/>
    <row r="94" ht="15.95" customHeight="1" x14ac:dyDescent="0.2"/>
    <row r="95" ht="15.95" customHeight="1" x14ac:dyDescent="0.2"/>
    <row r="96" ht="15.95" customHeight="1" x14ac:dyDescent="0.2"/>
    <row r="97" ht="15.95" customHeight="1" x14ac:dyDescent="0.2"/>
    <row r="98" ht="15.95" customHeight="1" x14ac:dyDescent="0.2"/>
    <row r="99" ht="15.95" customHeight="1" x14ac:dyDescent="0.2"/>
    <row r="100" ht="15.95" customHeight="1" x14ac:dyDescent="0.2"/>
    <row r="101" ht="15.95" customHeight="1" x14ac:dyDescent="0.2"/>
    <row r="102" ht="15.95" customHeight="1" x14ac:dyDescent="0.2"/>
    <row r="103" ht="15.95" customHeight="1" x14ac:dyDescent="0.2"/>
    <row r="104" ht="15.95" customHeight="1" x14ac:dyDescent="0.2"/>
    <row r="105" ht="15.95" customHeight="1" x14ac:dyDescent="0.2"/>
    <row r="106" ht="15.95" customHeight="1" x14ac:dyDescent="0.2"/>
    <row r="107" ht="15.95" customHeight="1" x14ac:dyDescent="0.2"/>
    <row r="108" ht="15.95" customHeight="1" x14ac:dyDescent="0.2"/>
    <row r="109" ht="15.95" customHeight="1" x14ac:dyDescent="0.2"/>
    <row r="110" ht="15.95" customHeight="1" x14ac:dyDescent="0.2"/>
    <row r="111" ht="15.95" customHeight="1" x14ac:dyDescent="0.2"/>
    <row r="112" ht="15.95" customHeight="1" x14ac:dyDescent="0.2"/>
    <row r="113" ht="15.95" customHeight="1" x14ac:dyDescent="0.2"/>
    <row r="114" ht="15.95" customHeight="1" x14ac:dyDescent="0.2"/>
    <row r="115" ht="15.95" customHeight="1" x14ac:dyDescent="0.2"/>
    <row r="116" ht="15.95" customHeight="1" x14ac:dyDescent="0.2"/>
    <row r="117" ht="15.95" customHeight="1" x14ac:dyDescent="0.2"/>
    <row r="118" ht="15.95" customHeight="1" x14ac:dyDescent="0.2"/>
    <row r="119" ht="15.95" customHeight="1" x14ac:dyDescent="0.2"/>
    <row r="120" ht="15.95" customHeight="1" x14ac:dyDescent="0.2"/>
    <row r="121" ht="15.95" customHeight="1" x14ac:dyDescent="0.2"/>
    <row r="122" ht="15.95" customHeight="1" x14ac:dyDescent="0.2"/>
    <row r="123" ht="15.95" customHeight="1" x14ac:dyDescent="0.2"/>
    <row r="124" ht="15.95" customHeight="1" x14ac:dyDescent="0.2"/>
    <row r="125" ht="15.95" customHeight="1" x14ac:dyDescent="0.2"/>
    <row r="126" ht="15.95" customHeight="1" x14ac:dyDescent="0.2"/>
    <row r="127" ht="15.95" customHeight="1" x14ac:dyDescent="0.2"/>
    <row r="128" ht="15.95" customHeight="1" x14ac:dyDescent="0.2"/>
    <row r="129" ht="15.95" customHeight="1" x14ac:dyDescent="0.2"/>
    <row r="130" ht="15.95" customHeight="1" x14ac:dyDescent="0.2"/>
    <row r="131" ht="15.95" customHeight="1" x14ac:dyDescent="0.2"/>
    <row r="132" ht="15.95" customHeight="1" x14ac:dyDescent="0.2"/>
    <row r="133" ht="15.95" customHeight="1" x14ac:dyDescent="0.2"/>
    <row r="134" ht="15.95" customHeight="1" x14ac:dyDescent="0.2"/>
    <row r="135" ht="15.95" customHeight="1" x14ac:dyDescent="0.2"/>
    <row r="136" ht="15.95" customHeight="1" x14ac:dyDescent="0.2"/>
    <row r="137" ht="15.95" customHeight="1" x14ac:dyDescent="0.2"/>
    <row r="138" ht="15.95" customHeight="1" x14ac:dyDescent="0.2"/>
    <row r="139" ht="15.95" customHeight="1" x14ac:dyDescent="0.2"/>
    <row r="140" ht="15.95" customHeight="1" x14ac:dyDescent="0.2"/>
    <row r="141" ht="15.95" customHeight="1" x14ac:dyDescent="0.2"/>
    <row r="142" ht="15.95" customHeight="1" x14ac:dyDescent="0.2"/>
    <row r="143" ht="15.95" customHeight="1" x14ac:dyDescent="0.2"/>
    <row r="144" ht="15.95" customHeight="1" x14ac:dyDescent="0.2"/>
    <row r="145" ht="15.95" customHeight="1" x14ac:dyDescent="0.2"/>
    <row r="146" ht="15.95" customHeight="1" x14ac:dyDescent="0.2"/>
    <row r="147" ht="15.95" customHeight="1" x14ac:dyDescent="0.2"/>
    <row r="148" ht="15.95" customHeight="1" x14ac:dyDescent="0.2"/>
    <row r="149" ht="15.95" customHeight="1" x14ac:dyDescent="0.2"/>
    <row r="150" ht="15.95" customHeight="1" x14ac:dyDescent="0.2"/>
    <row r="151" ht="15.95" customHeight="1" x14ac:dyDescent="0.2"/>
    <row r="152" ht="15.95" customHeight="1" x14ac:dyDescent="0.2"/>
    <row r="153" ht="15.95" customHeight="1" x14ac:dyDescent="0.2"/>
    <row r="154" ht="15.95" customHeight="1" x14ac:dyDescent="0.2"/>
    <row r="155" ht="15.95" customHeight="1" x14ac:dyDescent="0.2"/>
    <row r="156" ht="15.95" customHeight="1" x14ac:dyDescent="0.2"/>
    <row r="157" ht="15.95" customHeight="1" x14ac:dyDescent="0.2"/>
    <row r="158" ht="15.95" customHeight="1" x14ac:dyDescent="0.2"/>
    <row r="159" ht="15.95" customHeight="1" x14ac:dyDescent="0.2"/>
    <row r="160" ht="15.95" customHeight="1" x14ac:dyDescent="0.2"/>
    <row r="161" ht="15.95" customHeight="1" x14ac:dyDescent="0.2"/>
    <row r="162" ht="15.95" customHeight="1" x14ac:dyDescent="0.2"/>
    <row r="163" ht="15.95" customHeight="1" x14ac:dyDescent="0.2"/>
    <row r="164" ht="15.95" customHeight="1" x14ac:dyDescent="0.2"/>
    <row r="165" ht="15.95" customHeight="1" x14ac:dyDescent="0.2"/>
    <row r="166" ht="15.95" customHeight="1" x14ac:dyDescent="0.2"/>
    <row r="167" ht="15.95" customHeight="1" x14ac:dyDescent="0.2"/>
    <row r="168" ht="15.95" customHeight="1" x14ac:dyDescent="0.2"/>
    <row r="169" ht="15.95" customHeight="1" x14ac:dyDescent="0.2"/>
    <row r="170" ht="15.95" customHeight="1" x14ac:dyDescent="0.2"/>
    <row r="171" ht="15.95" customHeight="1" x14ac:dyDescent="0.2"/>
    <row r="172" ht="15.95" customHeight="1" x14ac:dyDescent="0.2"/>
    <row r="173" ht="15.95" customHeight="1" x14ac:dyDescent="0.2"/>
    <row r="174" ht="15.95" customHeight="1" x14ac:dyDescent="0.2"/>
    <row r="175" ht="15.95" customHeight="1" x14ac:dyDescent="0.2"/>
    <row r="176" ht="15.95" customHeight="1" x14ac:dyDescent="0.2"/>
    <row r="177" ht="15.95" customHeight="1" x14ac:dyDescent="0.2"/>
    <row r="178" ht="15.95" customHeight="1" x14ac:dyDescent="0.2"/>
    <row r="179" ht="15.95" customHeight="1" x14ac:dyDescent="0.2"/>
    <row r="180" ht="15.95" customHeight="1" x14ac:dyDescent="0.2"/>
    <row r="181" ht="15.95" customHeight="1" x14ac:dyDescent="0.2"/>
    <row r="182" ht="15.95" customHeight="1" x14ac:dyDescent="0.2"/>
    <row r="183" ht="15.95" customHeight="1" x14ac:dyDescent="0.2"/>
    <row r="184" ht="15.95" customHeight="1" x14ac:dyDescent="0.2"/>
    <row r="185" ht="15.95" customHeight="1" x14ac:dyDescent="0.2"/>
    <row r="186" ht="15.95" customHeight="1" x14ac:dyDescent="0.2"/>
    <row r="187" ht="15.95" customHeight="1" x14ac:dyDescent="0.2"/>
    <row r="188" ht="15.95" customHeight="1" x14ac:dyDescent="0.2"/>
    <row r="189" ht="15.95" customHeight="1" x14ac:dyDescent="0.2"/>
    <row r="190" ht="15.95" customHeight="1" x14ac:dyDescent="0.2"/>
    <row r="191" ht="15.95" customHeight="1" x14ac:dyDescent="0.2"/>
    <row r="192" ht="15.95" customHeight="1" x14ac:dyDescent="0.2"/>
    <row r="193" ht="15.95" customHeight="1" x14ac:dyDescent="0.2"/>
    <row r="194" ht="15.95" customHeight="1" x14ac:dyDescent="0.2"/>
    <row r="195" ht="15.95" customHeight="1" x14ac:dyDescent="0.2"/>
    <row r="196" ht="15.95" customHeight="1" x14ac:dyDescent="0.2"/>
    <row r="197" ht="15.95" customHeight="1" x14ac:dyDescent="0.2"/>
    <row r="198" ht="15.95" customHeight="1" x14ac:dyDescent="0.2"/>
    <row r="199" ht="15.95" customHeight="1" x14ac:dyDescent="0.2"/>
    <row r="200" ht="15.95" customHeight="1" x14ac:dyDescent="0.2"/>
    <row r="201" ht="15.95" customHeight="1" x14ac:dyDescent="0.2"/>
    <row r="202" ht="15.95" customHeight="1" x14ac:dyDescent="0.2"/>
    <row r="203" ht="15.95" customHeight="1" x14ac:dyDescent="0.2"/>
    <row r="204" ht="15.95" customHeight="1" x14ac:dyDescent="0.2"/>
    <row r="205" ht="15.95" customHeight="1" x14ac:dyDescent="0.2"/>
    <row r="206" ht="15.95" customHeight="1" x14ac:dyDescent="0.2"/>
    <row r="207" ht="15.95" customHeight="1" x14ac:dyDescent="0.2"/>
    <row r="208" ht="15.95" customHeight="1" x14ac:dyDescent="0.2"/>
    <row r="209" ht="15.95" customHeight="1" x14ac:dyDescent="0.2"/>
    <row r="210" ht="15.95" customHeight="1" x14ac:dyDescent="0.2"/>
    <row r="211" ht="15.95" customHeight="1" x14ac:dyDescent="0.2"/>
    <row r="212" ht="15.95" customHeight="1" x14ac:dyDescent="0.2"/>
    <row r="213" ht="15.95" customHeight="1" x14ac:dyDescent="0.2"/>
    <row r="214" ht="15.95" customHeight="1" x14ac:dyDescent="0.2"/>
    <row r="215" ht="15.95" customHeight="1" x14ac:dyDescent="0.2"/>
    <row r="216" ht="15.95" customHeight="1" x14ac:dyDescent="0.2"/>
    <row r="217" ht="15.95" customHeight="1" x14ac:dyDescent="0.2"/>
    <row r="218" ht="15.95" customHeight="1" x14ac:dyDescent="0.2"/>
    <row r="219" ht="15.95" customHeight="1" x14ac:dyDescent="0.2"/>
    <row r="220" ht="15.95" customHeight="1" x14ac:dyDescent="0.2"/>
    <row r="221" ht="15.95" customHeight="1" x14ac:dyDescent="0.2"/>
    <row r="222" ht="15.95" customHeight="1" x14ac:dyDescent="0.2"/>
    <row r="223" ht="15.95" customHeight="1" x14ac:dyDescent="0.2"/>
    <row r="224" ht="15.95" customHeight="1" x14ac:dyDescent="0.2"/>
    <row r="225" ht="15.95" customHeight="1" x14ac:dyDescent="0.2"/>
    <row r="226" ht="15.95" customHeight="1" x14ac:dyDescent="0.2"/>
    <row r="227" ht="15.95" customHeight="1" x14ac:dyDescent="0.2"/>
    <row r="228" ht="15.95" customHeight="1" x14ac:dyDescent="0.2"/>
    <row r="229" ht="15.95" customHeight="1" x14ac:dyDescent="0.2"/>
    <row r="230" ht="15.95" customHeight="1" x14ac:dyDescent="0.2"/>
    <row r="231" ht="15.95" customHeight="1" x14ac:dyDescent="0.2"/>
    <row r="232" ht="15.95" customHeight="1" x14ac:dyDescent="0.2"/>
    <row r="233" ht="15.95" customHeight="1" x14ac:dyDescent="0.2"/>
    <row r="234" ht="15.95" customHeight="1" x14ac:dyDescent="0.2"/>
    <row r="235" ht="15.95" customHeight="1" x14ac:dyDescent="0.2"/>
    <row r="236" ht="15.95" customHeight="1" x14ac:dyDescent="0.2"/>
    <row r="237" ht="15.95" customHeight="1" x14ac:dyDescent="0.2"/>
    <row r="238" ht="15.95" customHeight="1" x14ac:dyDescent="0.2"/>
    <row r="239" ht="15.95" customHeight="1" x14ac:dyDescent="0.2"/>
    <row r="240" ht="15.95" customHeight="1" x14ac:dyDescent="0.2"/>
    <row r="241" ht="15.95" customHeight="1" x14ac:dyDescent="0.2"/>
    <row r="242" ht="15.95" customHeight="1" x14ac:dyDescent="0.2"/>
    <row r="243" ht="15.95" customHeight="1" x14ac:dyDescent="0.2"/>
    <row r="244" ht="15.95" customHeight="1" x14ac:dyDescent="0.2"/>
    <row r="245" ht="15.95" customHeight="1" x14ac:dyDescent="0.2"/>
    <row r="246" ht="15.95" customHeight="1" x14ac:dyDescent="0.2"/>
    <row r="247" ht="15.95" customHeight="1" x14ac:dyDescent="0.2"/>
    <row r="248" ht="15.95" customHeight="1" x14ac:dyDescent="0.2"/>
    <row r="249" ht="15.95" customHeight="1" x14ac:dyDescent="0.2"/>
    <row r="250" ht="15.95" customHeight="1" x14ac:dyDescent="0.2"/>
    <row r="251" ht="15.95" customHeight="1" x14ac:dyDescent="0.2"/>
    <row r="252" ht="15.95" customHeight="1" x14ac:dyDescent="0.2"/>
    <row r="253" ht="15.95" customHeight="1" x14ac:dyDescent="0.2"/>
    <row r="254" ht="15.95" customHeight="1" x14ac:dyDescent="0.2"/>
    <row r="255" ht="15.95" customHeight="1" x14ac:dyDescent="0.2"/>
    <row r="256" ht="15.95" customHeight="1" x14ac:dyDescent="0.2"/>
    <row r="257" ht="15.95" customHeight="1" x14ac:dyDescent="0.2"/>
    <row r="258" ht="15.95" customHeight="1" x14ac:dyDescent="0.2"/>
    <row r="259" ht="15.95" customHeight="1" x14ac:dyDescent="0.2"/>
    <row r="260" ht="15.95" customHeight="1" x14ac:dyDescent="0.2"/>
    <row r="261" ht="15.95" customHeight="1" x14ac:dyDescent="0.2"/>
    <row r="262" ht="15.95" customHeight="1" x14ac:dyDescent="0.2"/>
    <row r="263" ht="15.95" customHeight="1" x14ac:dyDescent="0.2"/>
    <row r="264" ht="15.95" customHeight="1" x14ac:dyDescent="0.2"/>
    <row r="265" ht="15.95" customHeight="1" x14ac:dyDescent="0.2"/>
    <row r="266" ht="15.95" customHeight="1" x14ac:dyDescent="0.2"/>
    <row r="267" ht="15.95" customHeight="1" x14ac:dyDescent="0.2"/>
    <row r="268" ht="15.95" customHeight="1" x14ac:dyDescent="0.2"/>
    <row r="269" ht="15.95" customHeight="1" x14ac:dyDescent="0.2"/>
    <row r="270" ht="15.95" customHeight="1" x14ac:dyDescent="0.2"/>
    <row r="271" ht="15.95" customHeight="1" x14ac:dyDescent="0.2"/>
    <row r="272" ht="15.95" customHeight="1" x14ac:dyDescent="0.2"/>
    <row r="273" ht="15.95" customHeight="1" x14ac:dyDescent="0.2"/>
    <row r="274" ht="15.95" customHeight="1" x14ac:dyDescent="0.2"/>
    <row r="275" ht="15.95" customHeight="1" x14ac:dyDescent="0.2"/>
    <row r="276" ht="15.95" customHeight="1" x14ac:dyDescent="0.2"/>
    <row r="277" ht="15.95" customHeight="1" x14ac:dyDescent="0.2"/>
    <row r="278" ht="15.95" customHeight="1" x14ac:dyDescent="0.2"/>
    <row r="279" ht="15.95" customHeight="1" x14ac:dyDescent="0.2"/>
    <row r="280" ht="15.95" customHeight="1" x14ac:dyDescent="0.2"/>
    <row r="281" ht="15.95" customHeight="1" x14ac:dyDescent="0.2"/>
    <row r="282" ht="15.95" customHeight="1" x14ac:dyDescent="0.2"/>
    <row r="283" ht="15.95" customHeight="1" x14ac:dyDescent="0.2"/>
    <row r="284" ht="15.95" customHeight="1" x14ac:dyDescent="0.2"/>
    <row r="285" ht="15.95" customHeight="1" x14ac:dyDescent="0.2"/>
    <row r="286" ht="15.95" customHeight="1" x14ac:dyDescent="0.2"/>
    <row r="287" ht="15.95" customHeight="1" x14ac:dyDescent="0.2"/>
    <row r="288" ht="15.95" customHeight="1" x14ac:dyDescent="0.2"/>
    <row r="289" ht="15.95" customHeight="1" x14ac:dyDescent="0.2"/>
    <row r="290" ht="15.95" customHeight="1" x14ac:dyDescent="0.2"/>
    <row r="291" ht="15.95" customHeight="1" x14ac:dyDescent="0.2"/>
    <row r="292" ht="15.95" customHeight="1" x14ac:dyDescent="0.2"/>
    <row r="293" ht="15.95" customHeight="1" x14ac:dyDescent="0.2"/>
    <row r="294" ht="15.95" customHeight="1" x14ac:dyDescent="0.2"/>
    <row r="295" ht="15.95" customHeight="1" x14ac:dyDescent="0.2"/>
    <row r="296" ht="15.95" customHeight="1" x14ac:dyDescent="0.2"/>
    <row r="297" ht="15.95" customHeight="1" x14ac:dyDescent="0.2"/>
    <row r="298" ht="15.95" customHeight="1" x14ac:dyDescent="0.2"/>
    <row r="299" ht="15.95" customHeight="1" x14ac:dyDescent="0.2"/>
    <row r="300" ht="15.95" customHeight="1" x14ac:dyDescent="0.2"/>
    <row r="301" ht="15.95" customHeight="1" x14ac:dyDescent="0.2"/>
    <row r="302" ht="15.95" customHeight="1" x14ac:dyDescent="0.2"/>
    <row r="303" ht="15.95" customHeight="1" x14ac:dyDescent="0.2"/>
    <row r="304" ht="15.95" customHeight="1" x14ac:dyDescent="0.2"/>
    <row r="305" ht="15.95" customHeight="1" x14ac:dyDescent="0.2"/>
    <row r="306" ht="15.95" customHeight="1" x14ac:dyDescent="0.2"/>
    <row r="307" ht="15.95" customHeight="1" x14ac:dyDescent="0.2"/>
    <row r="308" ht="15.95" customHeight="1" x14ac:dyDescent="0.2"/>
    <row r="309" ht="15.95" customHeight="1" x14ac:dyDescent="0.2"/>
    <row r="310" ht="15.95" customHeight="1" x14ac:dyDescent="0.2"/>
    <row r="311" ht="15.95" customHeight="1" x14ac:dyDescent="0.2"/>
    <row r="312" ht="15.95" customHeight="1" x14ac:dyDescent="0.2"/>
    <row r="313" ht="15.95" customHeight="1" x14ac:dyDescent="0.2"/>
    <row r="314" ht="15.95" customHeight="1" x14ac:dyDescent="0.2"/>
    <row r="315" ht="15.95" customHeight="1" x14ac:dyDescent="0.2"/>
    <row r="316" ht="15.95" customHeight="1" x14ac:dyDescent="0.2"/>
    <row r="317" ht="15.95" customHeight="1" x14ac:dyDescent="0.2"/>
    <row r="318" ht="15.95" customHeight="1" x14ac:dyDescent="0.2"/>
    <row r="319" ht="15.95" customHeight="1" x14ac:dyDescent="0.2"/>
    <row r="320" ht="15.95" customHeight="1" x14ac:dyDescent="0.2"/>
    <row r="321" ht="15.95" customHeight="1" x14ac:dyDescent="0.2"/>
    <row r="322" ht="15.95" customHeight="1" x14ac:dyDescent="0.2"/>
    <row r="323" ht="15.95" customHeight="1" x14ac:dyDescent="0.2"/>
    <row r="324" ht="15.95" customHeight="1" x14ac:dyDescent="0.2"/>
    <row r="325" ht="15.95" customHeight="1" x14ac:dyDescent="0.2"/>
    <row r="326" ht="15.95" customHeight="1" x14ac:dyDescent="0.2"/>
    <row r="327" ht="15.95" customHeight="1" x14ac:dyDescent="0.2"/>
    <row r="328" ht="15.95" customHeight="1" x14ac:dyDescent="0.2"/>
    <row r="329" ht="15.95" customHeight="1" x14ac:dyDescent="0.2"/>
    <row r="330" ht="15.95" customHeight="1" x14ac:dyDescent="0.2"/>
    <row r="331" ht="15.95" customHeight="1" x14ac:dyDescent="0.2"/>
    <row r="332" ht="15.95" customHeight="1" x14ac:dyDescent="0.2"/>
    <row r="333" ht="15.95" customHeight="1" x14ac:dyDescent="0.2"/>
    <row r="334" ht="15.95" customHeight="1" x14ac:dyDescent="0.2"/>
    <row r="335" ht="15.95" customHeight="1" x14ac:dyDescent="0.2"/>
    <row r="336" ht="15.95" customHeight="1" x14ac:dyDescent="0.2"/>
    <row r="337" ht="15.95" customHeight="1" x14ac:dyDescent="0.2"/>
    <row r="338" ht="15.95" customHeight="1" x14ac:dyDescent="0.2"/>
    <row r="339" ht="15.95" customHeight="1" x14ac:dyDescent="0.2"/>
    <row r="340" ht="15.95" customHeight="1" x14ac:dyDescent="0.2"/>
    <row r="341" ht="15.95" customHeight="1" x14ac:dyDescent="0.2"/>
    <row r="342" ht="15.95" customHeight="1" x14ac:dyDescent="0.2"/>
    <row r="343" ht="15.95" customHeight="1" x14ac:dyDescent="0.2"/>
    <row r="344" ht="15.95" customHeight="1" x14ac:dyDescent="0.2"/>
    <row r="345" ht="15.95" customHeight="1" x14ac:dyDescent="0.2"/>
    <row r="346" ht="15.95" customHeight="1" x14ac:dyDescent="0.2"/>
    <row r="347" ht="15.95" customHeight="1" x14ac:dyDescent="0.2"/>
    <row r="348" ht="15.95" customHeight="1" x14ac:dyDescent="0.2"/>
    <row r="349" ht="15.95" customHeight="1" x14ac:dyDescent="0.2"/>
    <row r="350" ht="15.95" customHeight="1" x14ac:dyDescent="0.2"/>
    <row r="351" ht="15.95" customHeight="1" x14ac:dyDescent="0.2"/>
    <row r="352" ht="15.95" customHeight="1" x14ac:dyDescent="0.2"/>
    <row r="353" ht="15.95" customHeight="1" x14ac:dyDescent="0.2"/>
    <row r="354" ht="15.95" customHeight="1" x14ac:dyDescent="0.2"/>
    <row r="355" ht="15.95" customHeight="1" x14ac:dyDescent="0.2"/>
    <row r="356" ht="15.95" customHeight="1" x14ac:dyDescent="0.2"/>
    <row r="357" ht="15.95" customHeight="1" x14ac:dyDescent="0.2"/>
    <row r="358" ht="15.95" customHeight="1" x14ac:dyDescent="0.2"/>
    <row r="359" ht="15.95" customHeight="1" x14ac:dyDescent="0.2"/>
    <row r="360" ht="15.95" customHeight="1" x14ac:dyDescent="0.2"/>
    <row r="361" ht="15.95" customHeight="1" x14ac:dyDescent="0.2"/>
    <row r="362" ht="15.95" customHeight="1" x14ac:dyDescent="0.2"/>
    <row r="363" ht="15.95" customHeight="1" x14ac:dyDescent="0.2"/>
    <row r="364" ht="15.95" customHeight="1" x14ac:dyDescent="0.2"/>
    <row r="365" ht="15.95" customHeight="1" x14ac:dyDescent="0.2"/>
    <row r="366" ht="15.95" customHeight="1" x14ac:dyDescent="0.2"/>
    <row r="367" ht="15.95" customHeight="1" x14ac:dyDescent="0.2"/>
    <row r="368" ht="15.95" customHeight="1" x14ac:dyDescent="0.2"/>
    <row r="369" ht="15.95" customHeight="1" x14ac:dyDescent="0.2"/>
    <row r="370" ht="15.95" customHeight="1" x14ac:dyDescent="0.2"/>
    <row r="371" ht="15.95" customHeight="1" x14ac:dyDescent="0.2"/>
    <row r="372" ht="15.95" customHeight="1" x14ac:dyDescent="0.2"/>
    <row r="373" ht="15.95" customHeight="1" x14ac:dyDescent="0.2"/>
    <row r="374" ht="15.95" customHeight="1" x14ac:dyDescent="0.2"/>
    <row r="375" ht="15.95" customHeight="1" x14ac:dyDescent="0.2"/>
    <row r="376" ht="15.95" customHeight="1" x14ac:dyDescent="0.2"/>
    <row r="377" ht="15.95" customHeight="1" x14ac:dyDescent="0.2"/>
    <row r="378" ht="15.95" customHeight="1" x14ac:dyDescent="0.2"/>
    <row r="379" ht="15.95" customHeight="1" x14ac:dyDescent="0.2"/>
    <row r="380" ht="15.95" customHeight="1" x14ac:dyDescent="0.2"/>
    <row r="381" ht="15.95" customHeight="1" x14ac:dyDescent="0.2"/>
    <row r="382" ht="15.95" customHeight="1" x14ac:dyDescent="0.2"/>
    <row r="383" ht="15.95" customHeight="1" x14ac:dyDescent="0.2"/>
    <row r="384" ht="15.95" customHeight="1" x14ac:dyDescent="0.2"/>
    <row r="385" ht="15.95" customHeight="1" x14ac:dyDescent="0.2"/>
    <row r="386" ht="15.95" customHeight="1" x14ac:dyDescent="0.2"/>
    <row r="387" ht="15.95" customHeight="1" x14ac:dyDescent="0.2"/>
    <row r="388" ht="15.95" customHeight="1" x14ac:dyDescent="0.2"/>
    <row r="389" ht="15.95" customHeight="1" x14ac:dyDescent="0.2"/>
    <row r="390" ht="15.95" customHeight="1" x14ac:dyDescent="0.2"/>
    <row r="391" ht="15.95" customHeight="1" x14ac:dyDescent="0.2"/>
    <row r="392" ht="15.95" customHeight="1" x14ac:dyDescent="0.2"/>
    <row r="393" ht="15.95" customHeight="1" x14ac:dyDescent="0.2"/>
    <row r="394" ht="15.95" customHeight="1" x14ac:dyDescent="0.2"/>
    <row r="395" ht="15.95" customHeight="1" x14ac:dyDescent="0.2"/>
    <row r="396" ht="15.95" customHeight="1" x14ac:dyDescent="0.2"/>
    <row r="397" ht="15.95" customHeight="1" x14ac:dyDescent="0.2"/>
    <row r="398" ht="15.95" customHeight="1" x14ac:dyDescent="0.2"/>
    <row r="399" ht="15.95" customHeight="1" x14ac:dyDescent="0.2"/>
    <row r="400" ht="15.95" customHeight="1" x14ac:dyDescent="0.2"/>
    <row r="401" ht="15.95" customHeight="1" x14ac:dyDescent="0.2"/>
    <row r="402" ht="15.95" customHeight="1" x14ac:dyDescent="0.2"/>
    <row r="403" ht="15.95" customHeight="1" x14ac:dyDescent="0.2"/>
    <row r="404" ht="15.95" customHeight="1" x14ac:dyDescent="0.2"/>
    <row r="405" ht="15.95" customHeight="1" x14ac:dyDescent="0.2"/>
    <row r="406" ht="15.95" customHeight="1" x14ac:dyDescent="0.2"/>
    <row r="407" ht="15.95" customHeight="1" x14ac:dyDescent="0.2"/>
    <row r="408" ht="15.95" customHeight="1" x14ac:dyDescent="0.2"/>
    <row r="409" ht="15.95" customHeight="1" x14ac:dyDescent="0.2"/>
    <row r="410" ht="15.95" customHeight="1" x14ac:dyDescent="0.2"/>
    <row r="411" ht="15.95" customHeight="1" x14ac:dyDescent="0.2"/>
    <row r="412" ht="15.95" customHeight="1" x14ac:dyDescent="0.2"/>
    <row r="413" ht="15.95" customHeight="1" x14ac:dyDescent="0.2"/>
    <row r="414" ht="15.95" customHeight="1" x14ac:dyDescent="0.2"/>
    <row r="415" ht="15.95" customHeight="1" x14ac:dyDescent="0.2"/>
    <row r="416" ht="15.95" customHeight="1" x14ac:dyDescent="0.2"/>
    <row r="417" ht="15.95" customHeight="1" x14ac:dyDescent="0.2"/>
    <row r="418" ht="15.95" customHeight="1" x14ac:dyDescent="0.2"/>
    <row r="419" ht="15.95" customHeight="1" x14ac:dyDescent="0.2"/>
    <row r="420" ht="15.95" customHeight="1" x14ac:dyDescent="0.2"/>
    <row r="421" ht="15.95" customHeight="1" x14ac:dyDescent="0.2"/>
    <row r="422" ht="15.95" customHeight="1" x14ac:dyDescent="0.2"/>
    <row r="423" ht="15.95" customHeight="1" x14ac:dyDescent="0.2"/>
    <row r="424" ht="15.95" customHeight="1" x14ac:dyDescent="0.2"/>
    <row r="425" ht="15.95" customHeight="1" x14ac:dyDescent="0.2"/>
    <row r="426" ht="15.95" customHeight="1" x14ac:dyDescent="0.2"/>
    <row r="427" ht="15.95" customHeight="1" x14ac:dyDescent="0.2"/>
    <row r="428" ht="15.95" customHeight="1" x14ac:dyDescent="0.2"/>
    <row r="429" ht="15.95" customHeight="1" x14ac:dyDescent="0.2"/>
    <row r="430" ht="15.95" customHeight="1" x14ac:dyDescent="0.2"/>
    <row r="431" ht="15.95" customHeight="1" x14ac:dyDescent="0.2"/>
    <row r="432" ht="15.95" customHeight="1" x14ac:dyDescent="0.2"/>
    <row r="433" ht="15.95" customHeight="1" x14ac:dyDescent="0.2"/>
    <row r="434" ht="15.95" customHeight="1" x14ac:dyDescent="0.2"/>
    <row r="435" ht="15.95" customHeight="1" x14ac:dyDescent="0.2"/>
    <row r="436" ht="15.95" customHeight="1" x14ac:dyDescent="0.2"/>
    <row r="437" ht="15.95" customHeight="1" x14ac:dyDescent="0.2"/>
    <row r="438" ht="15.95" customHeight="1" x14ac:dyDescent="0.2"/>
    <row r="439" ht="15.95" customHeight="1" x14ac:dyDescent="0.2"/>
    <row r="440" ht="15.95" customHeight="1" x14ac:dyDescent="0.2"/>
    <row r="441" ht="15.95" customHeight="1" x14ac:dyDescent="0.2"/>
    <row r="442" ht="15.95" customHeight="1" x14ac:dyDescent="0.2"/>
    <row r="443" ht="15.95" customHeight="1" x14ac:dyDescent="0.2"/>
    <row r="444" ht="15.95" customHeight="1" x14ac:dyDescent="0.2"/>
    <row r="445" ht="15.95" customHeight="1" x14ac:dyDescent="0.2"/>
    <row r="446" ht="15.95" customHeight="1" x14ac:dyDescent="0.2"/>
    <row r="447" ht="15.95" customHeight="1" x14ac:dyDescent="0.2"/>
    <row r="448" ht="15.95" customHeight="1" x14ac:dyDescent="0.2"/>
    <row r="449" ht="15.95" customHeight="1" x14ac:dyDescent="0.2"/>
    <row r="450" ht="15.95" customHeight="1" x14ac:dyDescent="0.2"/>
    <row r="451" ht="15.95" customHeight="1" x14ac:dyDescent="0.2"/>
    <row r="452" ht="15.95" customHeight="1" x14ac:dyDescent="0.2"/>
    <row r="453" ht="15.95" customHeight="1" x14ac:dyDescent="0.2"/>
    <row r="454" ht="15.95" customHeight="1" x14ac:dyDescent="0.2"/>
    <row r="455" ht="15.95" customHeight="1" x14ac:dyDescent="0.2"/>
    <row r="456" ht="15.95" customHeight="1" x14ac:dyDescent="0.2"/>
    <row r="457" ht="15.95" customHeight="1" x14ac:dyDescent="0.2"/>
    <row r="458" ht="15.95" customHeight="1" x14ac:dyDescent="0.2"/>
    <row r="459" ht="15.95" customHeight="1" x14ac:dyDescent="0.2"/>
    <row r="460" ht="15.95" customHeight="1" x14ac:dyDescent="0.2"/>
    <row r="461" ht="15.95" customHeight="1" x14ac:dyDescent="0.2"/>
    <row r="462" ht="15.95" customHeight="1" x14ac:dyDescent="0.2"/>
    <row r="463" ht="15.95" customHeight="1" x14ac:dyDescent="0.2"/>
    <row r="464" ht="15.95" customHeight="1" x14ac:dyDescent="0.2"/>
    <row r="465" ht="15.95" customHeight="1" x14ac:dyDescent="0.2"/>
    <row r="466" ht="15.95" customHeight="1" x14ac:dyDescent="0.2"/>
    <row r="467" ht="15.95" customHeight="1" x14ac:dyDescent="0.2"/>
    <row r="468" ht="15.95" customHeight="1" x14ac:dyDescent="0.2"/>
    <row r="469" ht="15.95" customHeight="1" x14ac:dyDescent="0.2"/>
    <row r="470" ht="15.95" customHeight="1" x14ac:dyDescent="0.2"/>
    <row r="471" ht="15.95" customHeight="1" x14ac:dyDescent="0.2"/>
    <row r="472" ht="15.95" customHeight="1" x14ac:dyDescent="0.2"/>
    <row r="473" ht="15.95" customHeight="1" x14ac:dyDescent="0.2"/>
    <row r="474" ht="15.95" customHeight="1" x14ac:dyDescent="0.2"/>
    <row r="475" ht="15.95" customHeight="1" x14ac:dyDescent="0.2"/>
    <row r="476" ht="15.95" customHeight="1" x14ac:dyDescent="0.2"/>
    <row r="477" ht="15.95" customHeight="1" x14ac:dyDescent="0.2"/>
    <row r="478" ht="15.95" customHeight="1" x14ac:dyDescent="0.2"/>
    <row r="479" ht="15.95" customHeight="1" x14ac:dyDescent="0.2"/>
    <row r="480" ht="15.95" customHeight="1" x14ac:dyDescent="0.2"/>
    <row r="481" ht="15.95" customHeight="1" x14ac:dyDescent="0.2"/>
    <row r="482" ht="15.95" customHeight="1" x14ac:dyDescent="0.2"/>
    <row r="483" ht="15.95" customHeight="1" x14ac:dyDescent="0.2"/>
    <row r="484" ht="15.95" customHeight="1" x14ac:dyDescent="0.2"/>
    <row r="485" ht="15.95" customHeight="1" x14ac:dyDescent="0.2"/>
    <row r="486" ht="15.95" customHeight="1" x14ac:dyDescent="0.2"/>
    <row r="487" ht="15.95" customHeight="1" x14ac:dyDescent="0.2"/>
    <row r="488" ht="15.95" customHeight="1" x14ac:dyDescent="0.2"/>
    <row r="489" ht="15.95" customHeight="1" x14ac:dyDescent="0.2"/>
  </sheetData>
  <autoFilter ref="A3:AW11" xr:uid="{00000000-0009-0000-0000-000000000000}"/>
  <mergeCells count="21">
    <mergeCell ref="A8:AA8"/>
    <mergeCell ref="P16:AK16"/>
    <mergeCell ref="P17:AK17"/>
    <mergeCell ref="P18:AK18"/>
    <mergeCell ref="P19:AK19"/>
    <mergeCell ref="A9:J9"/>
    <mergeCell ref="A10:J10"/>
    <mergeCell ref="A16:O16"/>
    <mergeCell ref="A17:O17"/>
    <mergeCell ref="A18:O18"/>
    <mergeCell ref="A19:O19"/>
    <mergeCell ref="P20:AK20"/>
    <mergeCell ref="A23:O23"/>
    <mergeCell ref="A26:O26"/>
    <mergeCell ref="P21:AK21"/>
    <mergeCell ref="P22:AK22"/>
    <mergeCell ref="P23:AK23"/>
    <mergeCell ref="P26:AK26"/>
    <mergeCell ref="A20:O20"/>
    <mergeCell ref="A21:O21"/>
    <mergeCell ref="A22:O22"/>
  </mergeCells>
  <phoneticPr fontId="0" type="noConversion"/>
  <pageMargins left="0" right="0" top="0" bottom="0" header="0" footer="0"/>
  <pageSetup scale="14"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00"/>
  <sheetViews>
    <sheetView topLeftCell="A5" workbookViewId="0">
      <selection activeCell="P23" sqref="P23"/>
    </sheetView>
  </sheetViews>
  <sheetFormatPr defaultRowHeight="12.75" x14ac:dyDescent="0.2"/>
  <cols>
    <col min="1" max="1" width="45.5703125" style="11" customWidth="1"/>
    <col min="2" max="2" width="11.5703125" style="5" customWidth="1"/>
    <col min="3" max="3" width="8.5703125" style="5" customWidth="1"/>
    <col min="4" max="13" width="4.42578125" style="5" customWidth="1"/>
    <col min="14" max="14" width="10.5703125" style="8" customWidth="1"/>
  </cols>
  <sheetData>
    <row r="1" spans="1:14" ht="81" customHeight="1" thickBot="1" x14ac:dyDescent="0.25"/>
    <row r="2" spans="1:14" s="1" customFormat="1" ht="15.95" customHeight="1" thickBot="1" x14ac:dyDescent="0.25">
      <c r="A2" s="2" t="s">
        <v>0</v>
      </c>
      <c r="B2" s="3" t="s">
        <v>1</v>
      </c>
      <c r="C2" s="3" t="s">
        <v>2</v>
      </c>
      <c r="D2" s="3">
        <v>3</v>
      </c>
      <c r="E2" s="3">
        <v>4</v>
      </c>
      <c r="F2" s="3">
        <v>5</v>
      </c>
      <c r="G2" s="3">
        <v>6</v>
      </c>
      <c r="H2" s="3">
        <v>7</v>
      </c>
      <c r="I2" s="3">
        <v>8</v>
      </c>
      <c r="J2" s="3">
        <v>9</v>
      </c>
      <c r="K2" s="3">
        <v>10</v>
      </c>
      <c r="L2" s="3">
        <v>11</v>
      </c>
      <c r="M2" s="3">
        <v>12</v>
      </c>
      <c r="N2" s="4" t="s">
        <v>3</v>
      </c>
    </row>
    <row r="3" spans="1:14" ht="15.95" customHeight="1" thickTop="1" x14ac:dyDescent="0.2">
      <c r="A3" s="12"/>
      <c r="B3" s="6"/>
      <c r="C3" s="6"/>
      <c r="D3" s="6"/>
      <c r="E3" s="6"/>
      <c r="F3" s="6"/>
      <c r="G3" s="6"/>
      <c r="H3" s="6"/>
      <c r="I3" s="6"/>
      <c r="J3" s="6"/>
      <c r="K3" s="6"/>
      <c r="L3" s="6"/>
      <c r="M3" s="6"/>
      <c r="N3" s="9">
        <f t="shared" ref="N3:N25" si="0">SUM(D3:M3)</f>
        <v>0</v>
      </c>
    </row>
    <row r="4" spans="1:14" ht="15.95" customHeight="1" x14ac:dyDescent="0.2">
      <c r="A4" s="13"/>
      <c r="B4" s="7"/>
      <c r="C4" s="7"/>
      <c r="D4" s="7"/>
      <c r="E4" s="7"/>
      <c r="F4" s="7"/>
      <c r="G4" s="7"/>
      <c r="H4" s="7"/>
      <c r="I4" s="7"/>
      <c r="J4" s="7"/>
      <c r="K4" s="7"/>
      <c r="L4" s="7"/>
      <c r="M4" s="7"/>
      <c r="N4" s="10">
        <f t="shared" si="0"/>
        <v>0</v>
      </c>
    </row>
    <row r="5" spans="1:14" ht="15.95" customHeight="1" x14ac:dyDescent="0.2">
      <c r="A5" s="13"/>
      <c r="B5" s="7"/>
      <c r="C5" s="7"/>
      <c r="D5" s="7"/>
      <c r="E5" s="7"/>
      <c r="F5" s="7"/>
      <c r="G5" s="7"/>
      <c r="H5" s="7"/>
      <c r="I5" s="7"/>
      <c r="J5" s="7"/>
      <c r="K5" s="7"/>
      <c r="L5" s="7"/>
      <c r="M5" s="7"/>
      <c r="N5" s="10">
        <f t="shared" si="0"/>
        <v>0</v>
      </c>
    </row>
    <row r="6" spans="1:14" ht="15.95" customHeight="1" x14ac:dyDescent="0.2">
      <c r="A6" s="13"/>
      <c r="B6" s="7"/>
      <c r="C6" s="7"/>
      <c r="D6" s="7"/>
      <c r="E6" s="7"/>
      <c r="F6" s="7"/>
      <c r="G6" s="7"/>
      <c r="H6" s="7"/>
      <c r="I6" s="7"/>
      <c r="J6" s="7"/>
      <c r="K6" s="7"/>
      <c r="L6" s="7"/>
      <c r="M6" s="7"/>
      <c r="N6" s="10">
        <f t="shared" si="0"/>
        <v>0</v>
      </c>
    </row>
    <row r="7" spans="1:14" ht="15.95" customHeight="1" x14ac:dyDescent="0.2">
      <c r="A7" s="13"/>
      <c r="B7" s="7"/>
      <c r="C7" s="7"/>
      <c r="D7" s="7"/>
      <c r="E7" s="7"/>
      <c r="F7" s="7"/>
      <c r="G7" s="7"/>
      <c r="H7" s="7"/>
      <c r="I7" s="7"/>
      <c r="J7" s="7"/>
      <c r="K7" s="7"/>
      <c r="L7" s="7"/>
      <c r="M7" s="7"/>
      <c r="N7" s="10">
        <f t="shared" si="0"/>
        <v>0</v>
      </c>
    </row>
    <row r="8" spans="1:14" ht="15.95" customHeight="1" x14ac:dyDescent="0.2">
      <c r="A8" s="13"/>
      <c r="B8" s="7"/>
      <c r="C8" s="7"/>
      <c r="D8" s="7"/>
      <c r="E8" s="7"/>
      <c r="F8" s="7"/>
      <c r="G8" s="7"/>
      <c r="H8" s="7"/>
      <c r="I8" s="7"/>
      <c r="J8" s="7"/>
      <c r="K8" s="7"/>
      <c r="L8" s="7"/>
      <c r="M8" s="7"/>
      <c r="N8" s="10">
        <f t="shared" si="0"/>
        <v>0</v>
      </c>
    </row>
    <row r="9" spans="1:14" ht="15.95" customHeight="1" x14ac:dyDescent="0.2">
      <c r="A9" s="13"/>
      <c r="B9" s="7"/>
      <c r="C9" s="7"/>
      <c r="D9" s="7"/>
      <c r="E9" s="7"/>
      <c r="F9" s="7"/>
      <c r="G9" s="7"/>
      <c r="H9" s="7"/>
      <c r="I9" s="7"/>
      <c r="J9" s="7"/>
      <c r="K9" s="7"/>
      <c r="L9" s="7"/>
      <c r="M9" s="7"/>
      <c r="N9" s="10">
        <f t="shared" si="0"/>
        <v>0</v>
      </c>
    </row>
    <row r="10" spans="1:14" ht="15.95" customHeight="1" x14ac:dyDescent="0.2">
      <c r="A10" s="13"/>
      <c r="B10" s="7"/>
      <c r="C10" s="7"/>
      <c r="D10" s="7"/>
      <c r="E10" s="7"/>
      <c r="F10" s="7"/>
      <c r="G10" s="7"/>
      <c r="H10" s="7"/>
      <c r="I10" s="7"/>
      <c r="J10" s="7"/>
      <c r="K10" s="7"/>
      <c r="L10" s="7"/>
      <c r="M10" s="7"/>
      <c r="N10" s="10">
        <f t="shared" si="0"/>
        <v>0</v>
      </c>
    </row>
    <row r="11" spans="1:14" ht="15.95" customHeight="1" x14ac:dyDescent="0.2">
      <c r="A11" s="13"/>
      <c r="B11" s="7"/>
      <c r="C11" s="7"/>
      <c r="D11" s="7"/>
      <c r="E11" s="7"/>
      <c r="F11" s="7"/>
      <c r="G11" s="7"/>
      <c r="H11" s="7"/>
      <c r="I11" s="7"/>
      <c r="J11" s="7"/>
      <c r="K11" s="7"/>
      <c r="L11" s="7"/>
      <c r="M11" s="7"/>
      <c r="N11" s="10">
        <f t="shared" si="0"/>
        <v>0</v>
      </c>
    </row>
    <row r="12" spans="1:14" ht="15.95" customHeight="1" x14ac:dyDescent="0.2">
      <c r="A12" s="13"/>
      <c r="B12" s="7"/>
      <c r="C12" s="7"/>
      <c r="D12" s="7"/>
      <c r="E12" s="7"/>
      <c r="F12" s="7"/>
      <c r="G12" s="7"/>
      <c r="H12" s="7"/>
      <c r="I12" s="7"/>
      <c r="J12" s="7"/>
      <c r="K12" s="7"/>
      <c r="L12" s="7"/>
      <c r="M12" s="7"/>
      <c r="N12" s="10">
        <f t="shared" si="0"/>
        <v>0</v>
      </c>
    </row>
    <row r="13" spans="1:14" ht="15.95" customHeight="1" x14ac:dyDescent="0.2">
      <c r="A13" s="13"/>
      <c r="B13" s="7"/>
      <c r="C13" s="7"/>
      <c r="D13" s="7"/>
      <c r="E13" s="7"/>
      <c r="F13" s="7"/>
      <c r="G13" s="7"/>
      <c r="H13" s="7"/>
      <c r="I13" s="7"/>
      <c r="J13" s="7"/>
      <c r="K13" s="7"/>
      <c r="L13" s="7"/>
      <c r="M13" s="7"/>
      <c r="N13" s="10">
        <f t="shared" si="0"/>
        <v>0</v>
      </c>
    </row>
    <row r="14" spans="1:14" ht="15.95" customHeight="1" x14ac:dyDescent="0.2">
      <c r="A14" s="13"/>
      <c r="B14" s="7"/>
      <c r="C14" s="7"/>
      <c r="D14" s="7"/>
      <c r="E14" s="7"/>
      <c r="F14" s="7"/>
      <c r="G14" s="7"/>
      <c r="H14" s="7"/>
      <c r="I14" s="7"/>
      <c r="J14" s="7"/>
      <c r="K14" s="7"/>
      <c r="L14" s="7"/>
      <c r="M14" s="7"/>
      <c r="N14" s="10">
        <f t="shared" si="0"/>
        <v>0</v>
      </c>
    </row>
    <row r="15" spans="1:14" ht="15.95" customHeight="1" x14ac:dyDescent="0.2">
      <c r="A15" s="13"/>
      <c r="B15" s="7"/>
      <c r="C15" s="7"/>
      <c r="D15" s="7"/>
      <c r="E15" s="7"/>
      <c r="F15" s="7"/>
      <c r="G15" s="7"/>
      <c r="H15" s="7"/>
      <c r="I15" s="7"/>
      <c r="J15" s="7"/>
      <c r="K15" s="7"/>
      <c r="L15" s="7"/>
      <c r="M15" s="7"/>
      <c r="N15" s="10">
        <f t="shared" si="0"/>
        <v>0</v>
      </c>
    </row>
    <row r="16" spans="1:14" ht="15.95" customHeight="1" x14ac:dyDescent="0.2">
      <c r="A16" s="13"/>
      <c r="B16" s="7"/>
      <c r="C16" s="7"/>
      <c r="D16" s="7"/>
      <c r="E16" s="7"/>
      <c r="F16" s="7"/>
      <c r="G16" s="7"/>
      <c r="H16" s="7"/>
      <c r="I16" s="7"/>
      <c r="J16" s="7"/>
      <c r="K16" s="7"/>
      <c r="L16" s="7"/>
      <c r="M16" s="7"/>
      <c r="N16" s="10">
        <f t="shared" si="0"/>
        <v>0</v>
      </c>
    </row>
    <row r="17" spans="1:14" ht="15.95" customHeight="1" x14ac:dyDescent="0.2">
      <c r="A17" s="13"/>
      <c r="B17" s="7"/>
      <c r="C17" s="7"/>
      <c r="D17" s="7"/>
      <c r="E17" s="7"/>
      <c r="F17" s="7"/>
      <c r="G17" s="7"/>
      <c r="H17" s="7"/>
      <c r="I17" s="7"/>
      <c r="J17" s="7"/>
      <c r="K17" s="7"/>
      <c r="L17" s="7"/>
      <c r="M17" s="7"/>
      <c r="N17" s="10">
        <f t="shared" si="0"/>
        <v>0</v>
      </c>
    </row>
    <row r="18" spans="1:14" ht="15.95" customHeight="1" x14ac:dyDescent="0.2">
      <c r="A18" s="13"/>
      <c r="B18" s="7"/>
      <c r="C18" s="7"/>
      <c r="D18" s="7"/>
      <c r="E18" s="7"/>
      <c r="F18" s="7"/>
      <c r="G18" s="7"/>
      <c r="H18" s="7"/>
      <c r="I18" s="7"/>
      <c r="J18" s="7"/>
      <c r="K18" s="7"/>
      <c r="L18" s="7"/>
      <c r="M18" s="7"/>
      <c r="N18" s="10">
        <f t="shared" si="0"/>
        <v>0</v>
      </c>
    </row>
    <row r="19" spans="1:14" ht="15.95" customHeight="1" x14ac:dyDescent="0.2">
      <c r="A19" s="13"/>
      <c r="B19" s="7"/>
      <c r="C19" s="7"/>
      <c r="D19" s="7"/>
      <c r="E19" s="7"/>
      <c r="F19" s="7"/>
      <c r="G19" s="7"/>
      <c r="H19" s="7"/>
      <c r="I19" s="7"/>
      <c r="J19" s="7"/>
      <c r="K19" s="7"/>
      <c r="L19" s="7"/>
      <c r="M19" s="7"/>
      <c r="N19" s="10">
        <f t="shared" si="0"/>
        <v>0</v>
      </c>
    </row>
    <row r="20" spans="1:14" ht="15.95" customHeight="1" x14ac:dyDescent="0.2">
      <c r="A20" s="13"/>
      <c r="B20" s="7"/>
      <c r="C20" s="7"/>
      <c r="D20" s="7"/>
      <c r="E20" s="7"/>
      <c r="F20" s="7"/>
      <c r="G20" s="7"/>
      <c r="H20" s="7"/>
      <c r="I20" s="7"/>
      <c r="J20" s="7"/>
      <c r="K20" s="7"/>
      <c r="L20" s="7"/>
      <c r="M20" s="7"/>
      <c r="N20" s="10">
        <f t="shared" si="0"/>
        <v>0</v>
      </c>
    </row>
    <row r="21" spans="1:14" ht="15.95" customHeight="1" x14ac:dyDescent="0.2">
      <c r="A21" s="13"/>
      <c r="B21" s="7"/>
      <c r="C21" s="7"/>
      <c r="D21" s="7"/>
      <c r="E21" s="7"/>
      <c r="F21" s="7"/>
      <c r="G21" s="7"/>
      <c r="H21" s="7"/>
      <c r="I21" s="7"/>
      <c r="J21" s="7"/>
      <c r="K21" s="7"/>
      <c r="L21" s="7"/>
      <c r="M21" s="7"/>
      <c r="N21" s="10">
        <f t="shared" si="0"/>
        <v>0</v>
      </c>
    </row>
    <row r="22" spans="1:14" ht="15.95" customHeight="1" x14ac:dyDescent="0.2">
      <c r="A22" s="13"/>
      <c r="B22" s="7"/>
      <c r="C22" s="7"/>
      <c r="D22" s="7"/>
      <c r="E22" s="7"/>
      <c r="F22" s="7"/>
      <c r="G22" s="7"/>
      <c r="H22" s="7"/>
      <c r="I22" s="7"/>
      <c r="J22" s="7"/>
      <c r="K22" s="7"/>
      <c r="L22" s="7"/>
      <c r="M22" s="7"/>
      <c r="N22" s="10">
        <f t="shared" si="0"/>
        <v>0</v>
      </c>
    </row>
    <row r="23" spans="1:14" ht="15.95" customHeight="1" x14ac:dyDescent="0.2">
      <c r="A23" s="13"/>
      <c r="B23" s="7"/>
      <c r="C23" s="7"/>
      <c r="D23" s="7"/>
      <c r="E23" s="7"/>
      <c r="F23" s="7"/>
      <c r="G23" s="7"/>
      <c r="H23" s="7"/>
      <c r="I23" s="7"/>
      <c r="J23" s="7"/>
      <c r="K23" s="7"/>
      <c r="L23" s="7"/>
      <c r="M23" s="7"/>
      <c r="N23" s="10">
        <f t="shared" si="0"/>
        <v>0</v>
      </c>
    </row>
    <row r="24" spans="1:14" ht="15.95" customHeight="1" x14ac:dyDescent="0.2">
      <c r="A24" s="13"/>
      <c r="B24" s="7"/>
      <c r="C24" s="7"/>
      <c r="D24" s="7"/>
      <c r="E24" s="7"/>
      <c r="F24" s="7"/>
      <c r="G24" s="7"/>
      <c r="H24" s="7"/>
      <c r="I24" s="7"/>
      <c r="J24" s="7"/>
      <c r="K24" s="7"/>
      <c r="L24" s="7"/>
      <c r="M24" s="7"/>
      <c r="N24" s="10">
        <f t="shared" si="0"/>
        <v>0</v>
      </c>
    </row>
    <row r="25" spans="1:14" ht="15.95" customHeight="1" x14ac:dyDescent="0.2">
      <c r="A25" s="13"/>
      <c r="B25" s="7"/>
      <c r="C25" s="7"/>
      <c r="D25" s="7"/>
      <c r="E25" s="7"/>
      <c r="F25" s="7"/>
      <c r="G25" s="7"/>
      <c r="H25" s="7"/>
      <c r="I25" s="7"/>
      <c r="J25" s="7"/>
      <c r="K25" s="7"/>
      <c r="L25" s="7"/>
      <c r="M25" s="7"/>
      <c r="N25" s="10">
        <f t="shared" si="0"/>
        <v>0</v>
      </c>
    </row>
    <row r="26" spans="1:14" ht="15.95" customHeight="1" x14ac:dyDescent="0.2">
      <c r="A26" s="14"/>
      <c r="B26" s="15"/>
      <c r="C26" s="15"/>
      <c r="D26" s="15"/>
      <c r="E26" s="15"/>
      <c r="F26" s="15"/>
      <c r="G26" s="15"/>
      <c r="H26" s="15"/>
      <c r="I26" s="15"/>
      <c r="J26" s="15"/>
      <c r="K26" s="15"/>
      <c r="L26" s="15"/>
      <c r="M26" s="15"/>
      <c r="N26" s="16"/>
    </row>
    <row r="27" spans="1:14" ht="15.95" customHeight="1" x14ac:dyDescent="0.2"/>
    <row r="28" spans="1:14" ht="15.95" customHeight="1" x14ac:dyDescent="0.2"/>
    <row r="29" spans="1:14" ht="15.95" customHeight="1" x14ac:dyDescent="0.2"/>
    <row r="30" spans="1:14" ht="15.95" customHeight="1" x14ac:dyDescent="0.2"/>
    <row r="31" spans="1:14" ht="15.95" customHeight="1" x14ac:dyDescent="0.2"/>
    <row r="32" spans="1:14" ht="15.95" customHeight="1" x14ac:dyDescent="0.2"/>
    <row r="33" ht="15.95" customHeight="1" x14ac:dyDescent="0.2"/>
    <row r="34" ht="15.95" customHeight="1" x14ac:dyDescent="0.2"/>
    <row r="35" ht="15.95" customHeight="1" x14ac:dyDescent="0.2"/>
    <row r="36" ht="15.95" customHeight="1" x14ac:dyDescent="0.2"/>
    <row r="37" ht="15.95" customHeight="1" x14ac:dyDescent="0.2"/>
    <row r="38" ht="15.95" customHeight="1" x14ac:dyDescent="0.2"/>
    <row r="39" ht="15.95" customHeight="1" x14ac:dyDescent="0.2"/>
    <row r="40" ht="15.95" customHeight="1" x14ac:dyDescent="0.2"/>
    <row r="41" ht="15.95" customHeight="1" x14ac:dyDescent="0.2"/>
    <row r="42" ht="15.95" customHeight="1" x14ac:dyDescent="0.2"/>
    <row r="43" ht="15.95" customHeight="1" x14ac:dyDescent="0.2"/>
    <row r="44" ht="15.95" customHeight="1" x14ac:dyDescent="0.2"/>
    <row r="45" ht="15.95" customHeight="1" x14ac:dyDescent="0.2"/>
    <row r="46" ht="15.95" customHeight="1" x14ac:dyDescent="0.2"/>
    <row r="47" ht="15.95" customHeight="1" x14ac:dyDescent="0.2"/>
    <row r="48" ht="15.95" customHeight="1" x14ac:dyDescent="0.2"/>
    <row r="49" ht="15.95" customHeight="1" x14ac:dyDescent="0.2"/>
    <row r="50" ht="15.95" customHeight="1" x14ac:dyDescent="0.2"/>
    <row r="51" ht="15.95" customHeight="1" x14ac:dyDescent="0.2"/>
    <row r="52" ht="15.95" customHeight="1" x14ac:dyDescent="0.2"/>
    <row r="53" ht="15.95" customHeight="1" x14ac:dyDescent="0.2"/>
    <row r="54" ht="15.95" customHeight="1" x14ac:dyDescent="0.2"/>
    <row r="55" ht="15.95" customHeight="1" x14ac:dyDescent="0.2"/>
    <row r="56" ht="15.95" customHeight="1" x14ac:dyDescent="0.2"/>
    <row r="57" ht="15.95" customHeight="1" x14ac:dyDescent="0.2"/>
    <row r="58" ht="15.95" customHeight="1" x14ac:dyDescent="0.2"/>
    <row r="59" ht="15.95" customHeight="1" x14ac:dyDescent="0.2"/>
    <row r="60" ht="15.95" customHeight="1" x14ac:dyDescent="0.2"/>
    <row r="61" ht="15.95" customHeight="1" x14ac:dyDescent="0.2"/>
    <row r="62" ht="15.95" customHeight="1" x14ac:dyDescent="0.2"/>
    <row r="63" ht="15.95" customHeight="1" x14ac:dyDescent="0.2"/>
    <row r="64" ht="15.95" customHeight="1" x14ac:dyDescent="0.2"/>
    <row r="65" ht="15.95" customHeight="1" x14ac:dyDescent="0.2"/>
    <row r="66" ht="15.95" customHeight="1" x14ac:dyDescent="0.2"/>
    <row r="67" ht="15.95" customHeight="1" x14ac:dyDescent="0.2"/>
    <row r="68" ht="15.95" customHeight="1" x14ac:dyDescent="0.2"/>
    <row r="69" ht="15.95" customHeight="1" x14ac:dyDescent="0.2"/>
    <row r="70" ht="15.95" customHeight="1" x14ac:dyDescent="0.2"/>
    <row r="71" ht="15.95" customHeight="1" x14ac:dyDescent="0.2"/>
    <row r="72" ht="15.95" customHeight="1" x14ac:dyDescent="0.2"/>
    <row r="73" ht="15.95" customHeight="1" x14ac:dyDescent="0.2"/>
    <row r="74" ht="15.95" customHeight="1" x14ac:dyDescent="0.2"/>
    <row r="75" ht="15.95" customHeight="1" x14ac:dyDescent="0.2"/>
    <row r="76" ht="15.95" customHeight="1" x14ac:dyDescent="0.2"/>
    <row r="77" ht="15.95" customHeight="1" x14ac:dyDescent="0.2"/>
    <row r="78" ht="15.95" customHeight="1" x14ac:dyDescent="0.2"/>
    <row r="79" ht="15.95" customHeight="1" x14ac:dyDescent="0.2"/>
    <row r="80" ht="15.95" customHeight="1" x14ac:dyDescent="0.2"/>
    <row r="81" ht="15.95" customHeight="1" x14ac:dyDescent="0.2"/>
    <row r="82" ht="15.95" customHeight="1" x14ac:dyDescent="0.2"/>
    <row r="83" ht="15.95" customHeight="1" x14ac:dyDescent="0.2"/>
    <row r="84" ht="15.95" customHeight="1" x14ac:dyDescent="0.2"/>
    <row r="85" ht="15.95" customHeight="1" x14ac:dyDescent="0.2"/>
    <row r="86" ht="15.95" customHeight="1" x14ac:dyDescent="0.2"/>
    <row r="87" ht="15.95" customHeight="1" x14ac:dyDescent="0.2"/>
    <row r="88" ht="15.95" customHeight="1" x14ac:dyDescent="0.2"/>
    <row r="89" ht="15.95" customHeight="1" x14ac:dyDescent="0.2"/>
    <row r="90" ht="15.95" customHeight="1" x14ac:dyDescent="0.2"/>
    <row r="91" ht="15.95" customHeight="1" x14ac:dyDescent="0.2"/>
    <row r="92" ht="15.95" customHeight="1" x14ac:dyDescent="0.2"/>
    <row r="93" ht="15.95" customHeight="1" x14ac:dyDescent="0.2"/>
    <row r="94" ht="15.95" customHeight="1" x14ac:dyDescent="0.2"/>
    <row r="95" ht="15.95" customHeight="1" x14ac:dyDescent="0.2"/>
    <row r="96" ht="15.95" customHeight="1" x14ac:dyDescent="0.2"/>
    <row r="97" ht="15.95" customHeight="1" x14ac:dyDescent="0.2"/>
    <row r="98" ht="15.95" customHeight="1" x14ac:dyDescent="0.2"/>
    <row r="99" ht="15.95" customHeight="1" x14ac:dyDescent="0.2"/>
    <row r="100" ht="15.95" customHeight="1" x14ac:dyDescent="0.2"/>
    <row r="101" ht="15.95" customHeight="1" x14ac:dyDescent="0.2"/>
    <row r="102" ht="15.95" customHeight="1" x14ac:dyDescent="0.2"/>
    <row r="103" ht="15.95" customHeight="1" x14ac:dyDescent="0.2"/>
    <row r="104" ht="15.95" customHeight="1" x14ac:dyDescent="0.2"/>
    <row r="105" ht="15.95" customHeight="1" x14ac:dyDescent="0.2"/>
    <row r="106" ht="15.95" customHeight="1" x14ac:dyDescent="0.2"/>
    <row r="107" ht="15.95" customHeight="1" x14ac:dyDescent="0.2"/>
    <row r="108" ht="15.95" customHeight="1" x14ac:dyDescent="0.2"/>
    <row r="109" ht="15.95" customHeight="1" x14ac:dyDescent="0.2"/>
    <row r="110" ht="15.95" customHeight="1" x14ac:dyDescent="0.2"/>
    <row r="111" ht="15.95" customHeight="1" x14ac:dyDescent="0.2"/>
    <row r="112" ht="15.95" customHeight="1" x14ac:dyDescent="0.2"/>
    <row r="113" ht="15.95" customHeight="1" x14ac:dyDescent="0.2"/>
    <row r="114" ht="15.95" customHeight="1" x14ac:dyDescent="0.2"/>
    <row r="115" ht="15.95" customHeight="1" x14ac:dyDescent="0.2"/>
    <row r="116" ht="15.95" customHeight="1" x14ac:dyDescent="0.2"/>
    <row r="117" ht="15.95" customHeight="1" x14ac:dyDescent="0.2"/>
    <row r="118" ht="15.95" customHeight="1" x14ac:dyDescent="0.2"/>
    <row r="119" ht="15.95" customHeight="1" x14ac:dyDescent="0.2"/>
    <row r="120" ht="15.95" customHeight="1" x14ac:dyDescent="0.2"/>
    <row r="121" ht="15.95" customHeight="1" x14ac:dyDescent="0.2"/>
    <row r="122" ht="15.95" customHeight="1" x14ac:dyDescent="0.2"/>
    <row r="123" ht="15.95" customHeight="1" x14ac:dyDescent="0.2"/>
    <row r="124" ht="15.95" customHeight="1" x14ac:dyDescent="0.2"/>
    <row r="125" ht="15.95" customHeight="1" x14ac:dyDescent="0.2"/>
    <row r="126" ht="15.95" customHeight="1" x14ac:dyDescent="0.2"/>
    <row r="127" ht="15.95" customHeight="1" x14ac:dyDescent="0.2"/>
    <row r="128" ht="15.95" customHeight="1" x14ac:dyDescent="0.2"/>
    <row r="129" ht="15.95" customHeight="1" x14ac:dyDescent="0.2"/>
    <row r="130" ht="15.95" customHeight="1" x14ac:dyDescent="0.2"/>
    <row r="131" ht="15.95" customHeight="1" x14ac:dyDescent="0.2"/>
    <row r="132" ht="15.95" customHeight="1" x14ac:dyDescent="0.2"/>
    <row r="133" ht="15.95" customHeight="1" x14ac:dyDescent="0.2"/>
    <row r="134" ht="15.95" customHeight="1" x14ac:dyDescent="0.2"/>
    <row r="135" ht="15.95" customHeight="1" x14ac:dyDescent="0.2"/>
    <row r="136" ht="15.95" customHeight="1" x14ac:dyDescent="0.2"/>
    <row r="137" ht="15.95" customHeight="1" x14ac:dyDescent="0.2"/>
    <row r="138" ht="15.95" customHeight="1" x14ac:dyDescent="0.2"/>
    <row r="139" ht="15.95" customHeight="1" x14ac:dyDescent="0.2"/>
    <row r="140" ht="15.95" customHeight="1" x14ac:dyDescent="0.2"/>
    <row r="141" ht="15.95" customHeight="1" x14ac:dyDescent="0.2"/>
    <row r="142" ht="15.95" customHeight="1" x14ac:dyDescent="0.2"/>
    <row r="143" ht="15.95" customHeight="1" x14ac:dyDescent="0.2"/>
    <row r="144" ht="15.95" customHeight="1" x14ac:dyDescent="0.2"/>
    <row r="145" ht="15.95" customHeight="1" x14ac:dyDescent="0.2"/>
    <row r="146" ht="15.95" customHeight="1" x14ac:dyDescent="0.2"/>
    <row r="147" ht="15.95" customHeight="1" x14ac:dyDescent="0.2"/>
    <row r="148" ht="15.95" customHeight="1" x14ac:dyDescent="0.2"/>
    <row r="149" ht="15.95" customHeight="1" x14ac:dyDescent="0.2"/>
    <row r="150" ht="15.95" customHeight="1" x14ac:dyDescent="0.2"/>
    <row r="151" ht="15.95" customHeight="1" x14ac:dyDescent="0.2"/>
    <row r="152" ht="15.95" customHeight="1" x14ac:dyDescent="0.2"/>
    <row r="153" ht="15.95" customHeight="1" x14ac:dyDescent="0.2"/>
    <row r="154" ht="15.95" customHeight="1" x14ac:dyDescent="0.2"/>
    <row r="155" ht="15.95" customHeight="1" x14ac:dyDescent="0.2"/>
    <row r="156" ht="15.95" customHeight="1" x14ac:dyDescent="0.2"/>
    <row r="157" ht="15.95" customHeight="1" x14ac:dyDescent="0.2"/>
    <row r="158" ht="15.95" customHeight="1" x14ac:dyDescent="0.2"/>
    <row r="159" ht="15.95" customHeight="1" x14ac:dyDescent="0.2"/>
    <row r="160" ht="15.95" customHeight="1" x14ac:dyDescent="0.2"/>
    <row r="161" ht="15.95" customHeight="1" x14ac:dyDescent="0.2"/>
    <row r="162" ht="15.95" customHeight="1" x14ac:dyDescent="0.2"/>
    <row r="163" ht="15.95" customHeight="1" x14ac:dyDescent="0.2"/>
    <row r="164" ht="15.95" customHeight="1" x14ac:dyDescent="0.2"/>
    <row r="165" ht="15.95" customHeight="1" x14ac:dyDescent="0.2"/>
    <row r="166" ht="15.95" customHeight="1" x14ac:dyDescent="0.2"/>
    <row r="167" ht="15.95" customHeight="1" x14ac:dyDescent="0.2"/>
    <row r="168" ht="15.95" customHeight="1" x14ac:dyDescent="0.2"/>
    <row r="169" ht="15.95" customHeight="1" x14ac:dyDescent="0.2"/>
    <row r="170" ht="15.95" customHeight="1" x14ac:dyDescent="0.2"/>
    <row r="171" ht="15.95" customHeight="1" x14ac:dyDescent="0.2"/>
    <row r="172" ht="15.95" customHeight="1" x14ac:dyDescent="0.2"/>
    <row r="173" ht="15.95" customHeight="1" x14ac:dyDescent="0.2"/>
    <row r="174" ht="15.95" customHeight="1" x14ac:dyDescent="0.2"/>
    <row r="175" ht="15.95" customHeight="1" x14ac:dyDescent="0.2"/>
    <row r="176" ht="15.95" customHeight="1" x14ac:dyDescent="0.2"/>
    <row r="177" ht="15.95" customHeight="1" x14ac:dyDescent="0.2"/>
    <row r="178" ht="15.95" customHeight="1" x14ac:dyDescent="0.2"/>
    <row r="179" ht="15.95" customHeight="1" x14ac:dyDescent="0.2"/>
    <row r="180" ht="15.95" customHeight="1" x14ac:dyDescent="0.2"/>
    <row r="181" ht="15.95" customHeight="1" x14ac:dyDescent="0.2"/>
    <row r="182" ht="15.95" customHeight="1" x14ac:dyDescent="0.2"/>
    <row r="183" ht="15.95" customHeight="1" x14ac:dyDescent="0.2"/>
    <row r="184" ht="15.95" customHeight="1" x14ac:dyDescent="0.2"/>
    <row r="185" ht="15.95" customHeight="1" x14ac:dyDescent="0.2"/>
    <row r="186" ht="15.95" customHeight="1" x14ac:dyDescent="0.2"/>
    <row r="187" ht="15.95" customHeight="1" x14ac:dyDescent="0.2"/>
    <row r="188" ht="15.95" customHeight="1" x14ac:dyDescent="0.2"/>
    <row r="189" ht="15.95" customHeight="1" x14ac:dyDescent="0.2"/>
    <row r="190" ht="15.95" customHeight="1" x14ac:dyDescent="0.2"/>
    <row r="191" ht="15.95" customHeight="1" x14ac:dyDescent="0.2"/>
    <row r="192" ht="15.95" customHeight="1" x14ac:dyDescent="0.2"/>
    <row r="193" ht="15.95" customHeight="1" x14ac:dyDescent="0.2"/>
    <row r="194" ht="15.95" customHeight="1" x14ac:dyDescent="0.2"/>
    <row r="195" ht="15.95" customHeight="1" x14ac:dyDescent="0.2"/>
    <row r="196" ht="15.95" customHeight="1" x14ac:dyDescent="0.2"/>
    <row r="197" ht="15.95" customHeight="1" x14ac:dyDescent="0.2"/>
    <row r="198" ht="15.95" customHeight="1" x14ac:dyDescent="0.2"/>
    <row r="199" ht="15.95" customHeight="1" x14ac:dyDescent="0.2"/>
    <row r="200" ht="15.95" customHeight="1" x14ac:dyDescent="0.2"/>
    <row r="201" ht="15.95" customHeight="1" x14ac:dyDescent="0.2"/>
    <row r="202" ht="15.95" customHeight="1" x14ac:dyDescent="0.2"/>
    <row r="203" ht="15.95" customHeight="1" x14ac:dyDescent="0.2"/>
    <row r="204" ht="15.95" customHeight="1" x14ac:dyDescent="0.2"/>
    <row r="205" ht="15.95" customHeight="1" x14ac:dyDescent="0.2"/>
    <row r="206" ht="15.95" customHeight="1" x14ac:dyDescent="0.2"/>
    <row r="207" ht="15.95" customHeight="1" x14ac:dyDescent="0.2"/>
    <row r="208" ht="15.95" customHeight="1" x14ac:dyDescent="0.2"/>
    <row r="209" ht="15.95" customHeight="1" x14ac:dyDescent="0.2"/>
    <row r="210" ht="15.95" customHeight="1" x14ac:dyDescent="0.2"/>
    <row r="211" ht="15.95" customHeight="1" x14ac:dyDescent="0.2"/>
    <row r="212" ht="15.95" customHeight="1" x14ac:dyDescent="0.2"/>
    <row r="213" ht="15.95" customHeight="1" x14ac:dyDescent="0.2"/>
    <row r="214" ht="15.95" customHeight="1" x14ac:dyDescent="0.2"/>
    <row r="215" ht="15.95" customHeight="1" x14ac:dyDescent="0.2"/>
    <row r="216" ht="15.95" customHeight="1" x14ac:dyDescent="0.2"/>
    <row r="217" ht="15.95" customHeight="1" x14ac:dyDescent="0.2"/>
    <row r="218" ht="15.95" customHeight="1" x14ac:dyDescent="0.2"/>
    <row r="219" ht="15.95" customHeight="1" x14ac:dyDescent="0.2"/>
    <row r="220" ht="15.95" customHeight="1" x14ac:dyDescent="0.2"/>
    <row r="221" ht="15.95" customHeight="1" x14ac:dyDescent="0.2"/>
    <row r="222" ht="15.95" customHeight="1" x14ac:dyDescent="0.2"/>
    <row r="223" ht="15.95" customHeight="1" x14ac:dyDescent="0.2"/>
    <row r="224" ht="15.95" customHeight="1" x14ac:dyDescent="0.2"/>
    <row r="225" ht="15.95" customHeight="1" x14ac:dyDescent="0.2"/>
    <row r="226" ht="15.95" customHeight="1" x14ac:dyDescent="0.2"/>
    <row r="227" ht="15.95" customHeight="1" x14ac:dyDescent="0.2"/>
    <row r="228" ht="15.95" customHeight="1" x14ac:dyDescent="0.2"/>
    <row r="229" ht="15.95" customHeight="1" x14ac:dyDescent="0.2"/>
    <row r="230" ht="15.95" customHeight="1" x14ac:dyDescent="0.2"/>
    <row r="231" ht="15.95" customHeight="1" x14ac:dyDescent="0.2"/>
    <row r="232" ht="15.95" customHeight="1" x14ac:dyDescent="0.2"/>
    <row r="233" ht="15.95" customHeight="1" x14ac:dyDescent="0.2"/>
    <row r="234" ht="15.95" customHeight="1" x14ac:dyDescent="0.2"/>
    <row r="235" ht="15.95" customHeight="1" x14ac:dyDescent="0.2"/>
    <row r="236" ht="15.95" customHeight="1" x14ac:dyDescent="0.2"/>
    <row r="237" ht="15.95" customHeight="1" x14ac:dyDescent="0.2"/>
    <row r="238" ht="15.95" customHeight="1" x14ac:dyDescent="0.2"/>
    <row r="239" ht="15.95" customHeight="1" x14ac:dyDescent="0.2"/>
    <row r="240" ht="15.95" customHeight="1" x14ac:dyDescent="0.2"/>
    <row r="241" ht="15.95" customHeight="1" x14ac:dyDescent="0.2"/>
    <row r="242" ht="15.95" customHeight="1" x14ac:dyDescent="0.2"/>
    <row r="243" ht="15.95" customHeight="1" x14ac:dyDescent="0.2"/>
    <row r="244" ht="15.95" customHeight="1" x14ac:dyDescent="0.2"/>
    <row r="245" ht="15.95" customHeight="1" x14ac:dyDescent="0.2"/>
    <row r="246" ht="15.95" customHeight="1" x14ac:dyDescent="0.2"/>
    <row r="247" ht="15.95" customHeight="1" x14ac:dyDescent="0.2"/>
    <row r="248" ht="15.95" customHeight="1" x14ac:dyDescent="0.2"/>
    <row r="249" ht="15.95" customHeight="1" x14ac:dyDescent="0.2"/>
    <row r="250" ht="15.95" customHeight="1" x14ac:dyDescent="0.2"/>
    <row r="251" ht="15.95" customHeight="1" x14ac:dyDescent="0.2"/>
    <row r="252" ht="15.95" customHeight="1" x14ac:dyDescent="0.2"/>
    <row r="253" ht="15.95" customHeight="1" x14ac:dyDescent="0.2"/>
    <row r="254" ht="15.95" customHeight="1" x14ac:dyDescent="0.2"/>
    <row r="255" ht="15.95" customHeight="1" x14ac:dyDescent="0.2"/>
    <row r="256" ht="15.95" customHeight="1" x14ac:dyDescent="0.2"/>
    <row r="257" ht="15.95" customHeight="1" x14ac:dyDescent="0.2"/>
    <row r="258" ht="15.95" customHeight="1" x14ac:dyDescent="0.2"/>
    <row r="259" ht="15.95" customHeight="1" x14ac:dyDescent="0.2"/>
    <row r="260" ht="15.95" customHeight="1" x14ac:dyDescent="0.2"/>
    <row r="261" ht="15.95" customHeight="1" x14ac:dyDescent="0.2"/>
    <row r="262" ht="15.95" customHeight="1" x14ac:dyDescent="0.2"/>
    <row r="263" ht="15.95" customHeight="1" x14ac:dyDescent="0.2"/>
    <row r="264" ht="15.95" customHeight="1" x14ac:dyDescent="0.2"/>
    <row r="265" ht="15.95" customHeight="1" x14ac:dyDescent="0.2"/>
    <row r="266" ht="15.95" customHeight="1" x14ac:dyDescent="0.2"/>
    <row r="267" ht="15.95" customHeight="1" x14ac:dyDescent="0.2"/>
    <row r="268" ht="15.95" customHeight="1" x14ac:dyDescent="0.2"/>
    <row r="269" ht="15.95" customHeight="1" x14ac:dyDescent="0.2"/>
    <row r="270" ht="15.95" customHeight="1" x14ac:dyDescent="0.2"/>
    <row r="271" ht="15.95" customHeight="1" x14ac:dyDescent="0.2"/>
    <row r="272" ht="15.95" customHeight="1" x14ac:dyDescent="0.2"/>
    <row r="273" ht="15.95" customHeight="1" x14ac:dyDescent="0.2"/>
    <row r="274" ht="15.95" customHeight="1" x14ac:dyDescent="0.2"/>
    <row r="275" ht="15.95" customHeight="1" x14ac:dyDescent="0.2"/>
    <row r="276" ht="15.95" customHeight="1" x14ac:dyDescent="0.2"/>
    <row r="277" ht="15.95" customHeight="1" x14ac:dyDescent="0.2"/>
    <row r="278" ht="15.95" customHeight="1" x14ac:dyDescent="0.2"/>
    <row r="279" ht="15.95" customHeight="1" x14ac:dyDescent="0.2"/>
    <row r="280" ht="15.95" customHeight="1" x14ac:dyDescent="0.2"/>
    <row r="281" ht="15.95" customHeight="1" x14ac:dyDescent="0.2"/>
    <row r="282" ht="15.95" customHeight="1" x14ac:dyDescent="0.2"/>
    <row r="283" ht="15.95" customHeight="1" x14ac:dyDescent="0.2"/>
    <row r="284" ht="15.95" customHeight="1" x14ac:dyDescent="0.2"/>
    <row r="285" ht="15.95" customHeight="1" x14ac:dyDescent="0.2"/>
    <row r="286" ht="15.95" customHeight="1" x14ac:dyDescent="0.2"/>
    <row r="287" ht="15.95" customHeight="1" x14ac:dyDescent="0.2"/>
    <row r="288" ht="15.95" customHeight="1" x14ac:dyDescent="0.2"/>
    <row r="289" ht="15.95" customHeight="1" x14ac:dyDescent="0.2"/>
    <row r="290" ht="15.95" customHeight="1" x14ac:dyDescent="0.2"/>
    <row r="291" ht="15.95" customHeight="1" x14ac:dyDescent="0.2"/>
    <row r="292" ht="15.95" customHeight="1" x14ac:dyDescent="0.2"/>
    <row r="293" ht="15.95" customHeight="1" x14ac:dyDescent="0.2"/>
    <row r="294" ht="15.95" customHeight="1" x14ac:dyDescent="0.2"/>
    <row r="295" ht="15.95" customHeight="1" x14ac:dyDescent="0.2"/>
    <row r="296" ht="15.95" customHeight="1" x14ac:dyDescent="0.2"/>
    <row r="297" ht="15.95" customHeight="1" x14ac:dyDescent="0.2"/>
    <row r="298" ht="15.95" customHeight="1" x14ac:dyDescent="0.2"/>
    <row r="299" ht="15.95" customHeight="1" x14ac:dyDescent="0.2"/>
    <row r="300" ht="15.95" customHeight="1" x14ac:dyDescent="0.2"/>
    <row r="301" ht="15.95" customHeight="1" x14ac:dyDescent="0.2"/>
    <row r="302" ht="15.95" customHeight="1" x14ac:dyDescent="0.2"/>
    <row r="303" ht="15.95" customHeight="1" x14ac:dyDescent="0.2"/>
    <row r="304" ht="15.95" customHeight="1" x14ac:dyDescent="0.2"/>
    <row r="305" ht="15.95" customHeight="1" x14ac:dyDescent="0.2"/>
    <row r="306" ht="15.95" customHeight="1" x14ac:dyDescent="0.2"/>
    <row r="307" ht="15.95" customHeight="1" x14ac:dyDescent="0.2"/>
    <row r="308" ht="15.95" customHeight="1" x14ac:dyDescent="0.2"/>
    <row r="309" ht="15.95" customHeight="1" x14ac:dyDescent="0.2"/>
    <row r="310" ht="15.95" customHeight="1" x14ac:dyDescent="0.2"/>
    <row r="311" ht="15.95" customHeight="1" x14ac:dyDescent="0.2"/>
    <row r="312" ht="15.95" customHeight="1" x14ac:dyDescent="0.2"/>
    <row r="313" ht="15.95" customHeight="1" x14ac:dyDescent="0.2"/>
    <row r="314" ht="15.95" customHeight="1" x14ac:dyDescent="0.2"/>
    <row r="315" ht="15.95" customHeight="1" x14ac:dyDescent="0.2"/>
    <row r="316" ht="15.95" customHeight="1" x14ac:dyDescent="0.2"/>
    <row r="317" ht="15.95" customHeight="1" x14ac:dyDescent="0.2"/>
    <row r="318" ht="15.95" customHeight="1" x14ac:dyDescent="0.2"/>
    <row r="319" ht="15.95" customHeight="1" x14ac:dyDescent="0.2"/>
    <row r="320" ht="15.95" customHeight="1" x14ac:dyDescent="0.2"/>
    <row r="321" ht="15.95" customHeight="1" x14ac:dyDescent="0.2"/>
    <row r="322" ht="15.95" customHeight="1" x14ac:dyDescent="0.2"/>
    <row r="323" ht="15.95" customHeight="1" x14ac:dyDescent="0.2"/>
    <row r="324" ht="15.95" customHeight="1" x14ac:dyDescent="0.2"/>
    <row r="325" ht="15.95" customHeight="1" x14ac:dyDescent="0.2"/>
    <row r="326" ht="15.95" customHeight="1" x14ac:dyDescent="0.2"/>
    <row r="327" ht="15.95" customHeight="1" x14ac:dyDescent="0.2"/>
    <row r="328" ht="15.95" customHeight="1" x14ac:dyDescent="0.2"/>
    <row r="329" ht="15.95" customHeight="1" x14ac:dyDescent="0.2"/>
    <row r="330" ht="15.95" customHeight="1" x14ac:dyDescent="0.2"/>
    <row r="331" ht="15.95" customHeight="1" x14ac:dyDescent="0.2"/>
    <row r="332" ht="15.95" customHeight="1" x14ac:dyDescent="0.2"/>
    <row r="333" ht="15.95" customHeight="1" x14ac:dyDescent="0.2"/>
    <row r="334" ht="15.95" customHeight="1" x14ac:dyDescent="0.2"/>
    <row r="335" ht="15.95" customHeight="1" x14ac:dyDescent="0.2"/>
    <row r="336" ht="15.95" customHeight="1" x14ac:dyDescent="0.2"/>
    <row r="337" ht="15.95" customHeight="1" x14ac:dyDescent="0.2"/>
    <row r="338" ht="15.95" customHeight="1" x14ac:dyDescent="0.2"/>
    <row r="339" ht="15.95" customHeight="1" x14ac:dyDescent="0.2"/>
    <row r="340" ht="15.95" customHeight="1" x14ac:dyDescent="0.2"/>
    <row r="341" ht="15.95" customHeight="1" x14ac:dyDescent="0.2"/>
    <row r="342" ht="15.95" customHeight="1" x14ac:dyDescent="0.2"/>
    <row r="343" ht="15.95" customHeight="1" x14ac:dyDescent="0.2"/>
    <row r="344" ht="15.95" customHeight="1" x14ac:dyDescent="0.2"/>
    <row r="345" ht="15.95" customHeight="1" x14ac:dyDescent="0.2"/>
    <row r="346" ht="15.95" customHeight="1" x14ac:dyDescent="0.2"/>
    <row r="347" ht="15.95" customHeight="1" x14ac:dyDescent="0.2"/>
    <row r="348" ht="15.95" customHeight="1" x14ac:dyDescent="0.2"/>
    <row r="349" ht="15.95" customHeight="1" x14ac:dyDescent="0.2"/>
    <row r="350" ht="15.95" customHeight="1" x14ac:dyDescent="0.2"/>
    <row r="351" ht="15.95" customHeight="1" x14ac:dyDescent="0.2"/>
    <row r="352" ht="15.95" customHeight="1" x14ac:dyDescent="0.2"/>
    <row r="353" ht="15.95" customHeight="1" x14ac:dyDescent="0.2"/>
    <row r="354" ht="15.95" customHeight="1" x14ac:dyDescent="0.2"/>
    <row r="355" ht="15.95" customHeight="1" x14ac:dyDescent="0.2"/>
    <row r="356" ht="15.95" customHeight="1" x14ac:dyDescent="0.2"/>
    <row r="357" ht="15.95" customHeight="1" x14ac:dyDescent="0.2"/>
    <row r="358" ht="15.95" customHeight="1" x14ac:dyDescent="0.2"/>
    <row r="359" ht="15.95" customHeight="1" x14ac:dyDescent="0.2"/>
    <row r="360" ht="15.95" customHeight="1" x14ac:dyDescent="0.2"/>
    <row r="361" ht="15.95" customHeight="1" x14ac:dyDescent="0.2"/>
    <row r="362" ht="15.95" customHeight="1" x14ac:dyDescent="0.2"/>
    <row r="363" ht="15.95" customHeight="1" x14ac:dyDescent="0.2"/>
    <row r="364" ht="15.95" customHeight="1" x14ac:dyDescent="0.2"/>
    <row r="365" ht="15.95" customHeight="1" x14ac:dyDescent="0.2"/>
    <row r="366" ht="15.95" customHeight="1" x14ac:dyDescent="0.2"/>
    <row r="367" ht="15.95" customHeight="1" x14ac:dyDescent="0.2"/>
    <row r="368" ht="15.95" customHeight="1" x14ac:dyDescent="0.2"/>
    <row r="369" ht="15.95" customHeight="1" x14ac:dyDescent="0.2"/>
    <row r="370" ht="15.95" customHeight="1" x14ac:dyDescent="0.2"/>
    <row r="371" ht="15.95" customHeight="1" x14ac:dyDescent="0.2"/>
    <row r="372" ht="15.95" customHeight="1" x14ac:dyDescent="0.2"/>
    <row r="373" ht="15.95" customHeight="1" x14ac:dyDescent="0.2"/>
    <row r="374" ht="15.95" customHeight="1" x14ac:dyDescent="0.2"/>
    <row r="375" ht="15.95" customHeight="1" x14ac:dyDescent="0.2"/>
    <row r="376" ht="15.95" customHeight="1" x14ac:dyDescent="0.2"/>
    <row r="377" ht="15.95" customHeight="1" x14ac:dyDescent="0.2"/>
    <row r="378" ht="15.95" customHeight="1" x14ac:dyDescent="0.2"/>
    <row r="379" ht="15.95" customHeight="1" x14ac:dyDescent="0.2"/>
    <row r="380" ht="15.95" customHeight="1" x14ac:dyDescent="0.2"/>
    <row r="381" ht="15.95" customHeight="1" x14ac:dyDescent="0.2"/>
    <row r="382" ht="15.95" customHeight="1" x14ac:dyDescent="0.2"/>
    <row r="383" ht="15.95" customHeight="1" x14ac:dyDescent="0.2"/>
    <row r="384" ht="15.95" customHeight="1" x14ac:dyDescent="0.2"/>
    <row r="385" ht="15.95" customHeight="1" x14ac:dyDescent="0.2"/>
    <row r="386" ht="15.95" customHeight="1" x14ac:dyDescent="0.2"/>
    <row r="387" ht="15.95" customHeight="1" x14ac:dyDescent="0.2"/>
    <row r="388" ht="15.95" customHeight="1" x14ac:dyDescent="0.2"/>
    <row r="389" ht="15.95" customHeight="1" x14ac:dyDescent="0.2"/>
    <row r="390" ht="15.95" customHeight="1" x14ac:dyDescent="0.2"/>
    <row r="391" ht="15.95" customHeight="1" x14ac:dyDescent="0.2"/>
    <row r="392" ht="15.95" customHeight="1" x14ac:dyDescent="0.2"/>
    <row r="393" ht="15.95" customHeight="1" x14ac:dyDescent="0.2"/>
    <row r="394" ht="15.95" customHeight="1" x14ac:dyDescent="0.2"/>
    <row r="395" ht="15.95" customHeight="1" x14ac:dyDescent="0.2"/>
    <row r="396" ht="15.95" customHeight="1" x14ac:dyDescent="0.2"/>
    <row r="397" ht="15.95" customHeight="1" x14ac:dyDescent="0.2"/>
    <row r="398" ht="15.95" customHeight="1" x14ac:dyDescent="0.2"/>
    <row r="399" ht="15.95" customHeight="1" x14ac:dyDescent="0.2"/>
    <row r="400" ht="15.95" customHeight="1" x14ac:dyDescent="0.2"/>
    <row r="401" ht="15.95" customHeight="1" x14ac:dyDescent="0.2"/>
    <row r="402" ht="15.95" customHeight="1" x14ac:dyDescent="0.2"/>
    <row r="403" ht="15.95" customHeight="1" x14ac:dyDescent="0.2"/>
    <row r="404" ht="15.95" customHeight="1" x14ac:dyDescent="0.2"/>
    <row r="405" ht="15.95" customHeight="1" x14ac:dyDescent="0.2"/>
    <row r="406" ht="15.95" customHeight="1" x14ac:dyDescent="0.2"/>
    <row r="407" ht="15.95" customHeight="1" x14ac:dyDescent="0.2"/>
    <row r="408" ht="15.95" customHeight="1" x14ac:dyDescent="0.2"/>
    <row r="409" ht="15.95" customHeight="1" x14ac:dyDescent="0.2"/>
    <row r="410" ht="15.95" customHeight="1" x14ac:dyDescent="0.2"/>
    <row r="411" ht="15.95" customHeight="1" x14ac:dyDescent="0.2"/>
    <row r="412" ht="15.95" customHeight="1" x14ac:dyDescent="0.2"/>
    <row r="413" ht="15.95" customHeight="1" x14ac:dyDescent="0.2"/>
    <row r="414" ht="15.95" customHeight="1" x14ac:dyDescent="0.2"/>
    <row r="415" ht="15.95" customHeight="1" x14ac:dyDescent="0.2"/>
    <row r="416" ht="15.95" customHeight="1" x14ac:dyDescent="0.2"/>
    <row r="417" ht="15.95" customHeight="1" x14ac:dyDescent="0.2"/>
    <row r="418" ht="15.95" customHeight="1" x14ac:dyDescent="0.2"/>
    <row r="419" ht="15.95" customHeight="1" x14ac:dyDescent="0.2"/>
    <row r="420" ht="15.95" customHeight="1" x14ac:dyDescent="0.2"/>
    <row r="421" ht="15.95" customHeight="1" x14ac:dyDescent="0.2"/>
    <row r="422" ht="15.95" customHeight="1" x14ac:dyDescent="0.2"/>
    <row r="423" ht="15.95" customHeight="1" x14ac:dyDescent="0.2"/>
    <row r="424" ht="15.95" customHeight="1" x14ac:dyDescent="0.2"/>
    <row r="425" ht="15.95" customHeight="1" x14ac:dyDescent="0.2"/>
    <row r="426" ht="15.95" customHeight="1" x14ac:dyDescent="0.2"/>
    <row r="427" ht="15.95" customHeight="1" x14ac:dyDescent="0.2"/>
    <row r="428" ht="15.95" customHeight="1" x14ac:dyDescent="0.2"/>
    <row r="429" ht="15.95" customHeight="1" x14ac:dyDescent="0.2"/>
    <row r="430" ht="15.95" customHeight="1" x14ac:dyDescent="0.2"/>
    <row r="431" ht="15.95" customHeight="1" x14ac:dyDescent="0.2"/>
    <row r="432" ht="15.95" customHeight="1" x14ac:dyDescent="0.2"/>
    <row r="433" ht="15.95" customHeight="1" x14ac:dyDescent="0.2"/>
    <row r="434" ht="15.95" customHeight="1" x14ac:dyDescent="0.2"/>
    <row r="435" ht="15.95" customHeight="1" x14ac:dyDescent="0.2"/>
    <row r="436" ht="15.95" customHeight="1" x14ac:dyDescent="0.2"/>
    <row r="437" ht="15.95" customHeight="1" x14ac:dyDescent="0.2"/>
    <row r="438" ht="15.95" customHeight="1" x14ac:dyDescent="0.2"/>
    <row r="439" ht="15.95" customHeight="1" x14ac:dyDescent="0.2"/>
    <row r="440" ht="15.95" customHeight="1" x14ac:dyDescent="0.2"/>
    <row r="441" ht="15.95" customHeight="1" x14ac:dyDescent="0.2"/>
    <row r="442" ht="15.95" customHeight="1" x14ac:dyDescent="0.2"/>
    <row r="443" ht="15.95" customHeight="1" x14ac:dyDescent="0.2"/>
    <row r="444" ht="15.95" customHeight="1" x14ac:dyDescent="0.2"/>
    <row r="445" ht="15.95" customHeight="1" x14ac:dyDescent="0.2"/>
    <row r="446" ht="15.95" customHeight="1" x14ac:dyDescent="0.2"/>
    <row r="447" ht="15.95" customHeight="1" x14ac:dyDescent="0.2"/>
    <row r="448" ht="15.95" customHeight="1" x14ac:dyDescent="0.2"/>
    <row r="449" ht="15.95" customHeight="1" x14ac:dyDescent="0.2"/>
    <row r="450" ht="15.95" customHeight="1" x14ac:dyDescent="0.2"/>
    <row r="451" ht="15.95" customHeight="1" x14ac:dyDescent="0.2"/>
    <row r="452" ht="15.95" customHeight="1" x14ac:dyDescent="0.2"/>
    <row r="453" ht="15.95" customHeight="1" x14ac:dyDescent="0.2"/>
    <row r="454" ht="15.95" customHeight="1" x14ac:dyDescent="0.2"/>
    <row r="455" ht="15.95" customHeight="1" x14ac:dyDescent="0.2"/>
    <row r="456" ht="15.95" customHeight="1" x14ac:dyDescent="0.2"/>
    <row r="457" ht="15.95" customHeight="1" x14ac:dyDescent="0.2"/>
    <row r="458" ht="15.95" customHeight="1" x14ac:dyDescent="0.2"/>
    <row r="459" ht="15.95" customHeight="1" x14ac:dyDescent="0.2"/>
    <row r="460" ht="15.95" customHeight="1" x14ac:dyDescent="0.2"/>
    <row r="461" ht="15.95" customHeight="1" x14ac:dyDescent="0.2"/>
    <row r="462" ht="15.95" customHeight="1" x14ac:dyDescent="0.2"/>
    <row r="463" ht="15.95" customHeight="1" x14ac:dyDescent="0.2"/>
    <row r="464" ht="15.95" customHeight="1" x14ac:dyDescent="0.2"/>
    <row r="465" ht="15.95" customHeight="1" x14ac:dyDescent="0.2"/>
    <row r="466" ht="15.95" customHeight="1" x14ac:dyDescent="0.2"/>
    <row r="467" ht="15.95" customHeight="1" x14ac:dyDescent="0.2"/>
    <row r="468" ht="15.95" customHeight="1" x14ac:dyDescent="0.2"/>
    <row r="469" ht="15.95" customHeight="1" x14ac:dyDescent="0.2"/>
    <row r="470" ht="15.95" customHeight="1" x14ac:dyDescent="0.2"/>
    <row r="471" ht="15.95" customHeight="1" x14ac:dyDescent="0.2"/>
    <row r="472" ht="15.95" customHeight="1" x14ac:dyDescent="0.2"/>
    <row r="473" ht="15.95" customHeight="1" x14ac:dyDescent="0.2"/>
    <row r="474" ht="15.95" customHeight="1" x14ac:dyDescent="0.2"/>
    <row r="475" ht="15.95" customHeight="1" x14ac:dyDescent="0.2"/>
    <row r="476" ht="15.95" customHeight="1" x14ac:dyDescent="0.2"/>
    <row r="477" ht="15.95" customHeight="1" x14ac:dyDescent="0.2"/>
    <row r="478" ht="15.95" customHeight="1" x14ac:dyDescent="0.2"/>
    <row r="479" ht="15.95" customHeight="1" x14ac:dyDescent="0.2"/>
    <row r="480" ht="15.95" customHeight="1" x14ac:dyDescent="0.2"/>
    <row r="481" ht="15.95" customHeight="1" x14ac:dyDescent="0.2"/>
    <row r="482" ht="15.95" customHeight="1" x14ac:dyDescent="0.2"/>
    <row r="483" ht="15.95" customHeight="1" x14ac:dyDescent="0.2"/>
    <row r="484" ht="15.95" customHeight="1" x14ac:dyDescent="0.2"/>
    <row r="485" ht="15.95" customHeight="1" x14ac:dyDescent="0.2"/>
    <row r="486" ht="15.95" customHeight="1" x14ac:dyDescent="0.2"/>
    <row r="487" ht="15.95" customHeight="1" x14ac:dyDescent="0.2"/>
    <row r="488" ht="15.95" customHeight="1" x14ac:dyDescent="0.2"/>
    <row r="489" ht="15.95" customHeight="1" x14ac:dyDescent="0.2"/>
    <row r="490" ht="15.95" customHeight="1" x14ac:dyDescent="0.2"/>
    <row r="491" ht="15.95" customHeight="1" x14ac:dyDescent="0.2"/>
    <row r="492" ht="15.95" customHeight="1" x14ac:dyDescent="0.2"/>
    <row r="493" ht="15.95" customHeight="1" x14ac:dyDescent="0.2"/>
    <row r="494" ht="15.95" customHeight="1" x14ac:dyDescent="0.2"/>
    <row r="495" ht="15.95" customHeight="1" x14ac:dyDescent="0.2"/>
    <row r="496" ht="15.95" customHeight="1" x14ac:dyDescent="0.2"/>
    <row r="497" ht="15.95" customHeight="1" x14ac:dyDescent="0.2"/>
    <row r="498" ht="15.95" customHeight="1" x14ac:dyDescent="0.2"/>
    <row r="499" ht="15.95" customHeight="1" x14ac:dyDescent="0.2"/>
    <row r="500" ht="15.95" customHeight="1" x14ac:dyDescent="0.2"/>
  </sheetData>
  <phoneticPr fontId="0" type="noConversion"/>
  <pageMargins left="0.75" right="0.75" top="1" bottom="1" header="0.5" footer="0.5"/>
  <pageSetup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00"/>
  <sheetViews>
    <sheetView topLeftCell="A2" workbookViewId="0">
      <selection activeCell="G16" sqref="G16"/>
    </sheetView>
  </sheetViews>
  <sheetFormatPr defaultRowHeight="12.75" x14ac:dyDescent="0.2"/>
  <cols>
    <col min="1" max="1" width="45.5703125" style="11" customWidth="1"/>
    <col min="2" max="2" width="11.5703125" style="5" customWidth="1"/>
    <col min="3" max="3" width="8.5703125" style="5" customWidth="1"/>
    <col min="4" max="13" width="4.42578125" style="5" customWidth="1"/>
    <col min="14" max="14" width="10.5703125" style="8" customWidth="1"/>
  </cols>
  <sheetData>
    <row r="1" spans="1:14" ht="81" customHeight="1" thickBot="1" x14ac:dyDescent="0.25"/>
    <row r="2" spans="1:14" s="1" customFormat="1" ht="15.95" customHeight="1" thickBot="1" x14ac:dyDescent="0.25">
      <c r="A2" s="2" t="s">
        <v>0</v>
      </c>
      <c r="B2" s="3" t="s">
        <v>1</v>
      </c>
      <c r="C2" s="3" t="s">
        <v>2</v>
      </c>
      <c r="D2" s="3">
        <v>3</v>
      </c>
      <c r="E2" s="3">
        <v>4</v>
      </c>
      <c r="F2" s="3">
        <v>5</v>
      </c>
      <c r="G2" s="3">
        <v>6</v>
      </c>
      <c r="H2" s="3">
        <v>7</v>
      </c>
      <c r="I2" s="3">
        <v>8</v>
      </c>
      <c r="J2" s="3">
        <v>9</v>
      </c>
      <c r="K2" s="3">
        <v>10</v>
      </c>
      <c r="L2" s="3">
        <v>11</v>
      </c>
      <c r="M2" s="3">
        <v>12</v>
      </c>
      <c r="N2" s="4" t="s">
        <v>3</v>
      </c>
    </row>
    <row r="3" spans="1:14" ht="15.95" customHeight="1" thickTop="1" x14ac:dyDescent="0.2">
      <c r="A3" s="12"/>
      <c r="B3" s="6"/>
      <c r="C3" s="6"/>
      <c r="D3" s="6"/>
      <c r="E3" s="6"/>
      <c r="F3" s="6"/>
      <c r="G3" s="6"/>
      <c r="H3" s="6"/>
      <c r="I3" s="6"/>
      <c r="J3" s="6"/>
      <c r="K3" s="6"/>
      <c r="L3" s="6"/>
      <c r="M3" s="6"/>
      <c r="N3" s="9">
        <f t="shared" ref="N3:N25" si="0">SUM(D3:M3)</f>
        <v>0</v>
      </c>
    </row>
    <row r="4" spans="1:14" ht="15.95" customHeight="1" x14ac:dyDescent="0.2">
      <c r="A4" s="13"/>
      <c r="B4" s="7"/>
      <c r="C4" s="7"/>
      <c r="D4" s="7"/>
      <c r="E4" s="7"/>
      <c r="F4" s="7"/>
      <c r="G4" s="7"/>
      <c r="H4" s="7"/>
      <c r="I4" s="7"/>
      <c r="J4" s="7"/>
      <c r="K4" s="7"/>
      <c r="L4" s="7"/>
      <c r="M4" s="7"/>
      <c r="N4" s="10">
        <f t="shared" si="0"/>
        <v>0</v>
      </c>
    </row>
    <row r="5" spans="1:14" ht="15.95" customHeight="1" x14ac:dyDescent="0.2">
      <c r="A5" s="13"/>
      <c r="B5" s="7"/>
      <c r="C5" s="7"/>
      <c r="D5" s="7"/>
      <c r="E5" s="7"/>
      <c r="F5" s="7"/>
      <c r="G5" s="7"/>
      <c r="H5" s="7"/>
      <c r="I5" s="7"/>
      <c r="J5" s="7"/>
      <c r="K5" s="7"/>
      <c r="L5" s="7"/>
      <c r="M5" s="7"/>
      <c r="N5" s="10">
        <f t="shared" si="0"/>
        <v>0</v>
      </c>
    </row>
    <row r="6" spans="1:14" ht="15.95" customHeight="1" x14ac:dyDescent="0.2">
      <c r="A6" s="13"/>
      <c r="B6" s="7"/>
      <c r="C6" s="7"/>
      <c r="D6" s="7"/>
      <c r="E6" s="7"/>
      <c r="F6" s="7"/>
      <c r="G6" s="7"/>
      <c r="H6" s="7"/>
      <c r="I6" s="7"/>
      <c r="J6" s="7"/>
      <c r="K6" s="7"/>
      <c r="L6" s="7"/>
      <c r="M6" s="7"/>
      <c r="N6" s="10">
        <f t="shared" si="0"/>
        <v>0</v>
      </c>
    </row>
    <row r="7" spans="1:14" ht="15.95" customHeight="1" x14ac:dyDescent="0.2">
      <c r="A7" s="13"/>
      <c r="B7" s="7"/>
      <c r="C7" s="7"/>
      <c r="D7" s="7"/>
      <c r="E7" s="7"/>
      <c r="F7" s="7"/>
      <c r="G7" s="7"/>
      <c r="H7" s="7"/>
      <c r="I7" s="7"/>
      <c r="J7" s="7"/>
      <c r="K7" s="7"/>
      <c r="L7" s="7"/>
      <c r="M7" s="7"/>
      <c r="N7" s="10">
        <f t="shared" si="0"/>
        <v>0</v>
      </c>
    </row>
    <row r="8" spans="1:14" ht="15.95" customHeight="1" x14ac:dyDescent="0.2">
      <c r="A8" s="13"/>
      <c r="B8" s="7"/>
      <c r="C8" s="7"/>
      <c r="D8" s="7"/>
      <c r="E8" s="7"/>
      <c r="F8" s="7"/>
      <c r="G8" s="7"/>
      <c r="H8" s="7"/>
      <c r="I8" s="7"/>
      <c r="J8" s="7"/>
      <c r="K8" s="7"/>
      <c r="L8" s="7"/>
      <c r="M8" s="7"/>
      <c r="N8" s="10">
        <f t="shared" si="0"/>
        <v>0</v>
      </c>
    </row>
    <row r="9" spans="1:14" ht="15.95" customHeight="1" x14ac:dyDescent="0.2">
      <c r="A9" s="13"/>
      <c r="B9" s="7"/>
      <c r="C9" s="7"/>
      <c r="D9" s="7"/>
      <c r="E9" s="7"/>
      <c r="F9" s="7"/>
      <c r="G9" s="7"/>
      <c r="H9" s="7"/>
      <c r="I9" s="7"/>
      <c r="J9" s="7"/>
      <c r="K9" s="7"/>
      <c r="L9" s="7"/>
      <c r="M9" s="7"/>
      <c r="N9" s="10">
        <f t="shared" si="0"/>
        <v>0</v>
      </c>
    </row>
    <row r="10" spans="1:14" ht="15.95" customHeight="1" x14ac:dyDescent="0.2">
      <c r="A10" s="13"/>
      <c r="B10" s="7"/>
      <c r="C10" s="7"/>
      <c r="D10" s="7"/>
      <c r="E10" s="7"/>
      <c r="F10" s="7"/>
      <c r="G10" s="7"/>
      <c r="H10" s="7"/>
      <c r="I10" s="7"/>
      <c r="J10" s="7"/>
      <c r="K10" s="7"/>
      <c r="L10" s="7"/>
      <c r="M10" s="7"/>
      <c r="N10" s="10">
        <f t="shared" si="0"/>
        <v>0</v>
      </c>
    </row>
    <row r="11" spans="1:14" ht="15.95" customHeight="1" x14ac:dyDescent="0.2">
      <c r="A11" s="13"/>
      <c r="B11" s="7"/>
      <c r="C11" s="7"/>
      <c r="D11" s="7"/>
      <c r="E11" s="7"/>
      <c r="F11" s="7"/>
      <c r="G11" s="7"/>
      <c r="H11" s="7"/>
      <c r="I11" s="7"/>
      <c r="J11" s="7"/>
      <c r="K11" s="7"/>
      <c r="L11" s="7"/>
      <c r="M11" s="7"/>
      <c r="N11" s="10">
        <f t="shared" si="0"/>
        <v>0</v>
      </c>
    </row>
    <row r="12" spans="1:14" ht="15.95" customHeight="1" x14ac:dyDescent="0.2">
      <c r="A12" s="13"/>
      <c r="B12" s="7"/>
      <c r="C12" s="7"/>
      <c r="D12" s="7"/>
      <c r="E12" s="7"/>
      <c r="F12" s="7"/>
      <c r="G12" s="7"/>
      <c r="H12" s="7"/>
      <c r="I12" s="7"/>
      <c r="J12" s="7"/>
      <c r="K12" s="7"/>
      <c r="L12" s="7"/>
      <c r="M12" s="7"/>
      <c r="N12" s="10">
        <f t="shared" si="0"/>
        <v>0</v>
      </c>
    </row>
    <row r="13" spans="1:14" ht="15.95" customHeight="1" x14ac:dyDescent="0.2">
      <c r="A13" s="13"/>
      <c r="B13" s="7"/>
      <c r="C13" s="7"/>
      <c r="D13" s="7"/>
      <c r="E13" s="7"/>
      <c r="F13" s="7"/>
      <c r="G13" s="7"/>
      <c r="H13" s="7"/>
      <c r="I13" s="7"/>
      <c r="J13" s="7"/>
      <c r="K13" s="7"/>
      <c r="L13" s="7"/>
      <c r="M13" s="7"/>
      <c r="N13" s="10">
        <f t="shared" si="0"/>
        <v>0</v>
      </c>
    </row>
    <row r="14" spans="1:14" ht="15.95" customHeight="1" x14ac:dyDescent="0.2">
      <c r="A14" s="13"/>
      <c r="B14" s="7"/>
      <c r="C14" s="7"/>
      <c r="D14" s="7"/>
      <c r="E14" s="7"/>
      <c r="F14" s="7"/>
      <c r="G14" s="7"/>
      <c r="H14" s="7"/>
      <c r="I14" s="7"/>
      <c r="J14" s="7"/>
      <c r="K14" s="7"/>
      <c r="L14" s="7"/>
      <c r="M14" s="7"/>
      <c r="N14" s="10">
        <f t="shared" si="0"/>
        <v>0</v>
      </c>
    </row>
    <row r="15" spans="1:14" ht="15.95" customHeight="1" x14ac:dyDescent="0.2">
      <c r="A15" s="13"/>
      <c r="B15" s="7"/>
      <c r="C15" s="7"/>
      <c r="D15" s="7"/>
      <c r="E15" s="7"/>
      <c r="F15" s="7"/>
      <c r="G15" s="7"/>
      <c r="H15" s="7"/>
      <c r="I15" s="7"/>
      <c r="J15" s="7"/>
      <c r="K15" s="7"/>
      <c r="L15" s="7"/>
      <c r="M15" s="7"/>
      <c r="N15" s="10">
        <f t="shared" si="0"/>
        <v>0</v>
      </c>
    </row>
    <row r="16" spans="1:14" ht="15.95" customHeight="1" x14ac:dyDescent="0.2">
      <c r="A16" s="13"/>
      <c r="B16" s="7"/>
      <c r="C16" s="7"/>
      <c r="D16" s="7"/>
      <c r="E16" s="7"/>
      <c r="F16" s="7"/>
      <c r="G16" s="7"/>
      <c r="H16" s="7"/>
      <c r="I16" s="7"/>
      <c r="J16" s="7"/>
      <c r="K16" s="7"/>
      <c r="L16" s="7"/>
      <c r="M16" s="7"/>
      <c r="N16" s="10">
        <f t="shared" si="0"/>
        <v>0</v>
      </c>
    </row>
    <row r="17" spans="1:14" ht="15.95" customHeight="1" x14ac:dyDescent="0.2">
      <c r="A17" s="13"/>
      <c r="B17" s="7"/>
      <c r="C17" s="7"/>
      <c r="D17" s="7"/>
      <c r="E17" s="7"/>
      <c r="F17" s="7"/>
      <c r="G17" s="7"/>
      <c r="H17" s="7"/>
      <c r="I17" s="7"/>
      <c r="J17" s="7"/>
      <c r="K17" s="7"/>
      <c r="L17" s="7"/>
      <c r="M17" s="7"/>
      <c r="N17" s="10">
        <f t="shared" si="0"/>
        <v>0</v>
      </c>
    </row>
    <row r="18" spans="1:14" ht="15.95" customHeight="1" x14ac:dyDescent="0.2">
      <c r="A18" s="13"/>
      <c r="B18" s="7"/>
      <c r="C18" s="7"/>
      <c r="D18" s="7"/>
      <c r="E18" s="7"/>
      <c r="F18" s="7"/>
      <c r="G18" s="7"/>
      <c r="H18" s="7"/>
      <c r="I18" s="7"/>
      <c r="J18" s="7"/>
      <c r="K18" s="7"/>
      <c r="L18" s="7"/>
      <c r="M18" s="7"/>
      <c r="N18" s="10">
        <f t="shared" si="0"/>
        <v>0</v>
      </c>
    </row>
    <row r="19" spans="1:14" ht="15.95" customHeight="1" x14ac:dyDescent="0.2">
      <c r="A19" s="13"/>
      <c r="B19" s="7"/>
      <c r="C19" s="7"/>
      <c r="D19" s="7"/>
      <c r="E19" s="7"/>
      <c r="F19" s="7"/>
      <c r="G19" s="7"/>
      <c r="H19" s="7"/>
      <c r="I19" s="7"/>
      <c r="J19" s="7"/>
      <c r="K19" s="7"/>
      <c r="L19" s="7"/>
      <c r="M19" s="7"/>
      <c r="N19" s="10">
        <f t="shared" si="0"/>
        <v>0</v>
      </c>
    </row>
    <row r="20" spans="1:14" ht="15.95" customHeight="1" x14ac:dyDescent="0.2">
      <c r="A20" s="13"/>
      <c r="B20" s="7"/>
      <c r="C20" s="7"/>
      <c r="D20" s="7"/>
      <c r="E20" s="7"/>
      <c r="F20" s="7"/>
      <c r="G20" s="7"/>
      <c r="H20" s="7"/>
      <c r="I20" s="7"/>
      <c r="J20" s="7"/>
      <c r="K20" s="7"/>
      <c r="L20" s="7"/>
      <c r="M20" s="7"/>
      <c r="N20" s="10">
        <f t="shared" si="0"/>
        <v>0</v>
      </c>
    </row>
    <row r="21" spans="1:14" ht="15.95" customHeight="1" x14ac:dyDescent="0.2">
      <c r="A21" s="13"/>
      <c r="B21" s="7"/>
      <c r="C21" s="7"/>
      <c r="D21" s="7"/>
      <c r="E21" s="7"/>
      <c r="F21" s="7"/>
      <c r="G21" s="7"/>
      <c r="H21" s="7"/>
      <c r="I21" s="7"/>
      <c r="J21" s="7"/>
      <c r="K21" s="7"/>
      <c r="L21" s="7"/>
      <c r="M21" s="7"/>
      <c r="N21" s="10">
        <f t="shared" si="0"/>
        <v>0</v>
      </c>
    </row>
    <row r="22" spans="1:14" ht="15.95" customHeight="1" x14ac:dyDescent="0.2">
      <c r="A22" s="13"/>
      <c r="B22" s="7"/>
      <c r="C22" s="7"/>
      <c r="D22" s="7"/>
      <c r="E22" s="7"/>
      <c r="F22" s="7"/>
      <c r="G22" s="7"/>
      <c r="H22" s="7"/>
      <c r="I22" s="7"/>
      <c r="J22" s="7"/>
      <c r="K22" s="7"/>
      <c r="L22" s="7"/>
      <c r="M22" s="7"/>
      <c r="N22" s="10">
        <f t="shared" si="0"/>
        <v>0</v>
      </c>
    </row>
    <row r="23" spans="1:14" ht="15.95" customHeight="1" x14ac:dyDescent="0.2">
      <c r="A23" s="13"/>
      <c r="B23" s="7"/>
      <c r="C23" s="7"/>
      <c r="D23" s="7"/>
      <c r="E23" s="7"/>
      <c r="F23" s="7"/>
      <c r="G23" s="7"/>
      <c r="H23" s="7"/>
      <c r="I23" s="7"/>
      <c r="J23" s="7"/>
      <c r="K23" s="7"/>
      <c r="L23" s="7"/>
      <c r="M23" s="7"/>
      <c r="N23" s="10">
        <f t="shared" si="0"/>
        <v>0</v>
      </c>
    </row>
    <row r="24" spans="1:14" ht="15.95" customHeight="1" x14ac:dyDescent="0.2">
      <c r="A24" s="13"/>
      <c r="B24" s="7"/>
      <c r="C24" s="7"/>
      <c r="D24" s="7"/>
      <c r="E24" s="7"/>
      <c r="F24" s="7"/>
      <c r="G24" s="7"/>
      <c r="H24" s="7"/>
      <c r="I24" s="7"/>
      <c r="J24" s="7"/>
      <c r="K24" s="7"/>
      <c r="L24" s="7"/>
      <c r="M24" s="7"/>
      <c r="N24" s="10">
        <f t="shared" si="0"/>
        <v>0</v>
      </c>
    </row>
    <row r="25" spans="1:14" ht="15.95" customHeight="1" x14ac:dyDescent="0.2">
      <c r="A25" s="13"/>
      <c r="B25" s="7"/>
      <c r="C25" s="7"/>
      <c r="D25" s="7"/>
      <c r="E25" s="7"/>
      <c r="F25" s="7"/>
      <c r="G25" s="7"/>
      <c r="H25" s="7"/>
      <c r="I25" s="7"/>
      <c r="J25" s="7"/>
      <c r="K25" s="7"/>
      <c r="L25" s="7"/>
      <c r="M25" s="7"/>
      <c r="N25" s="10">
        <f t="shared" si="0"/>
        <v>0</v>
      </c>
    </row>
    <row r="26" spans="1:14" ht="16.5" customHeight="1" x14ac:dyDescent="0.2">
      <c r="A26" s="14"/>
      <c r="B26" s="15"/>
      <c r="C26" s="15"/>
      <c r="D26" s="15"/>
      <c r="E26" s="15"/>
      <c r="F26" s="15"/>
      <c r="G26" s="15"/>
      <c r="H26" s="15"/>
      <c r="I26" s="15"/>
      <c r="J26" s="15"/>
      <c r="K26" s="15"/>
      <c r="L26" s="15"/>
      <c r="M26" s="15"/>
      <c r="N26" s="16"/>
    </row>
    <row r="27" spans="1:14" ht="15.95" customHeight="1" x14ac:dyDescent="0.2"/>
    <row r="28" spans="1:14" ht="15.95" customHeight="1" x14ac:dyDescent="0.2"/>
    <row r="29" spans="1:14" ht="15.95" customHeight="1" x14ac:dyDescent="0.2"/>
    <row r="30" spans="1:14" ht="15.95" customHeight="1" x14ac:dyDescent="0.2"/>
    <row r="31" spans="1:14" ht="15.95" customHeight="1" x14ac:dyDescent="0.2"/>
    <row r="32" spans="1:14" ht="15.95" customHeight="1" x14ac:dyDescent="0.2"/>
    <row r="33" ht="15.95" customHeight="1" x14ac:dyDescent="0.2"/>
    <row r="34" ht="15.95" customHeight="1" x14ac:dyDescent="0.2"/>
    <row r="35" ht="15.95" customHeight="1" x14ac:dyDescent="0.2"/>
    <row r="36" ht="15.95" customHeight="1" x14ac:dyDescent="0.2"/>
    <row r="37" ht="15.95" customHeight="1" x14ac:dyDescent="0.2"/>
    <row r="38" ht="15.95" customHeight="1" x14ac:dyDescent="0.2"/>
    <row r="39" ht="15.95" customHeight="1" x14ac:dyDescent="0.2"/>
    <row r="40" ht="15.95" customHeight="1" x14ac:dyDescent="0.2"/>
    <row r="41" ht="15.95" customHeight="1" x14ac:dyDescent="0.2"/>
    <row r="42" ht="15.95" customHeight="1" x14ac:dyDescent="0.2"/>
    <row r="43" ht="15.95" customHeight="1" x14ac:dyDescent="0.2"/>
    <row r="44" ht="15.95" customHeight="1" x14ac:dyDescent="0.2"/>
    <row r="45" ht="15.95" customHeight="1" x14ac:dyDescent="0.2"/>
    <row r="46" ht="15.95" customHeight="1" x14ac:dyDescent="0.2"/>
    <row r="47" ht="15.95" customHeight="1" x14ac:dyDescent="0.2"/>
    <row r="48" ht="15.95" customHeight="1" x14ac:dyDescent="0.2"/>
    <row r="49" ht="15.95" customHeight="1" x14ac:dyDescent="0.2"/>
    <row r="50" ht="15.95" customHeight="1" x14ac:dyDescent="0.2"/>
    <row r="51" ht="15.95" customHeight="1" x14ac:dyDescent="0.2"/>
    <row r="52" ht="15.95" customHeight="1" x14ac:dyDescent="0.2"/>
    <row r="53" ht="15.95" customHeight="1" x14ac:dyDescent="0.2"/>
    <row r="54" ht="15.95" customHeight="1" x14ac:dyDescent="0.2"/>
    <row r="55" ht="15.95" customHeight="1" x14ac:dyDescent="0.2"/>
    <row r="56" ht="15.95" customHeight="1" x14ac:dyDescent="0.2"/>
    <row r="57" ht="15.95" customHeight="1" x14ac:dyDescent="0.2"/>
    <row r="58" ht="15.95" customHeight="1" x14ac:dyDescent="0.2"/>
    <row r="59" ht="15.95" customHeight="1" x14ac:dyDescent="0.2"/>
    <row r="60" ht="15.95" customHeight="1" x14ac:dyDescent="0.2"/>
    <row r="61" ht="15.95" customHeight="1" x14ac:dyDescent="0.2"/>
    <row r="62" ht="15.95" customHeight="1" x14ac:dyDescent="0.2"/>
    <row r="63" ht="15.95" customHeight="1" x14ac:dyDescent="0.2"/>
    <row r="64" ht="15.95" customHeight="1" x14ac:dyDescent="0.2"/>
    <row r="65" ht="15.95" customHeight="1" x14ac:dyDescent="0.2"/>
    <row r="66" ht="15.95" customHeight="1" x14ac:dyDescent="0.2"/>
    <row r="67" ht="15.95" customHeight="1" x14ac:dyDescent="0.2"/>
    <row r="68" ht="15.95" customHeight="1" x14ac:dyDescent="0.2"/>
    <row r="69" ht="15.95" customHeight="1" x14ac:dyDescent="0.2"/>
    <row r="70" ht="15.95" customHeight="1" x14ac:dyDescent="0.2"/>
    <row r="71" ht="15.95" customHeight="1" x14ac:dyDescent="0.2"/>
    <row r="72" ht="15.95" customHeight="1" x14ac:dyDescent="0.2"/>
    <row r="73" ht="15.95" customHeight="1" x14ac:dyDescent="0.2"/>
    <row r="74" ht="15.95" customHeight="1" x14ac:dyDescent="0.2"/>
    <row r="75" ht="15.95" customHeight="1" x14ac:dyDescent="0.2"/>
    <row r="76" ht="15.95" customHeight="1" x14ac:dyDescent="0.2"/>
    <row r="77" ht="15.95" customHeight="1" x14ac:dyDescent="0.2"/>
    <row r="78" ht="15.95" customHeight="1" x14ac:dyDescent="0.2"/>
    <row r="79" ht="15.95" customHeight="1" x14ac:dyDescent="0.2"/>
    <row r="80" ht="15.95" customHeight="1" x14ac:dyDescent="0.2"/>
    <row r="81" ht="15.95" customHeight="1" x14ac:dyDescent="0.2"/>
    <row r="82" ht="15.95" customHeight="1" x14ac:dyDescent="0.2"/>
    <row r="83" ht="15.95" customHeight="1" x14ac:dyDescent="0.2"/>
    <row r="84" ht="15.95" customHeight="1" x14ac:dyDescent="0.2"/>
    <row r="85" ht="15.95" customHeight="1" x14ac:dyDescent="0.2"/>
    <row r="86" ht="15.95" customHeight="1" x14ac:dyDescent="0.2"/>
    <row r="87" ht="15.95" customHeight="1" x14ac:dyDescent="0.2"/>
    <row r="88" ht="15.95" customHeight="1" x14ac:dyDescent="0.2"/>
    <row r="89" ht="15.95" customHeight="1" x14ac:dyDescent="0.2"/>
    <row r="90" ht="15.95" customHeight="1" x14ac:dyDescent="0.2"/>
    <row r="91" ht="15.95" customHeight="1" x14ac:dyDescent="0.2"/>
    <row r="92" ht="15.95" customHeight="1" x14ac:dyDescent="0.2"/>
    <row r="93" ht="15.95" customHeight="1" x14ac:dyDescent="0.2"/>
    <row r="94" ht="15.95" customHeight="1" x14ac:dyDescent="0.2"/>
    <row r="95" ht="15.95" customHeight="1" x14ac:dyDescent="0.2"/>
    <row r="96" ht="15.95" customHeight="1" x14ac:dyDescent="0.2"/>
    <row r="97" ht="15.95" customHeight="1" x14ac:dyDescent="0.2"/>
    <row r="98" ht="15.95" customHeight="1" x14ac:dyDescent="0.2"/>
    <row r="99" ht="15.95" customHeight="1" x14ac:dyDescent="0.2"/>
    <row r="100" ht="15.95" customHeight="1" x14ac:dyDescent="0.2"/>
    <row r="101" ht="15.95" customHeight="1" x14ac:dyDescent="0.2"/>
    <row r="102" ht="15.95" customHeight="1" x14ac:dyDescent="0.2"/>
    <row r="103" ht="15.95" customHeight="1" x14ac:dyDescent="0.2"/>
    <row r="104" ht="15.95" customHeight="1" x14ac:dyDescent="0.2"/>
    <row r="105" ht="15.95" customHeight="1" x14ac:dyDescent="0.2"/>
    <row r="106" ht="15.95" customHeight="1" x14ac:dyDescent="0.2"/>
    <row r="107" ht="15.95" customHeight="1" x14ac:dyDescent="0.2"/>
    <row r="108" ht="15.95" customHeight="1" x14ac:dyDescent="0.2"/>
    <row r="109" ht="15.95" customHeight="1" x14ac:dyDescent="0.2"/>
    <row r="110" ht="15.95" customHeight="1" x14ac:dyDescent="0.2"/>
    <row r="111" ht="15.95" customHeight="1" x14ac:dyDescent="0.2"/>
    <row r="112" ht="15.95" customHeight="1" x14ac:dyDescent="0.2"/>
    <row r="113" ht="15.95" customHeight="1" x14ac:dyDescent="0.2"/>
    <row r="114" ht="15.95" customHeight="1" x14ac:dyDescent="0.2"/>
    <row r="115" ht="15.95" customHeight="1" x14ac:dyDescent="0.2"/>
    <row r="116" ht="15.95" customHeight="1" x14ac:dyDescent="0.2"/>
    <row r="117" ht="15.95" customHeight="1" x14ac:dyDescent="0.2"/>
    <row r="118" ht="15.95" customHeight="1" x14ac:dyDescent="0.2"/>
    <row r="119" ht="15.95" customHeight="1" x14ac:dyDescent="0.2"/>
    <row r="120" ht="15.95" customHeight="1" x14ac:dyDescent="0.2"/>
    <row r="121" ht="15.95" customHeight="1" x14ac:dyDescent="0.2"/>
    <row r="122" ht="15.95" customHeight="1" x14ac:dyDescent="0.2"/>
    <row r="123" ht="15.95" customHeight="1" x14ac:dyDescent="0.2"/>
    <row r="124" ht="15.95" customHeight="1" x14ac:dyDescent="0.2"/>
    <row r="125" ht="15.95" customHeight="1" x14ac:dyDescent="0.2"/>
    <row r="126" ht="15.95" customHeight="1" x14ac:dyDescent="0.2"/>
    <row r="127" ht="15.95" customHeight="1" x14ac:dyDescent="0.2"/>
    <row r="128" ht="15.95" customHeight="1" x14ac:dyDescent="0.2"/>
    <row r="129" ht="15.95" customHeight="1" x14ac:dyDescent="0.2"/>
    <row r="130" ht="15.95" customHeight="1" x14ac:dyDescent="0.2"/>
    <row r="131" ht="15.95" customHeight="1" x14ac:dyDescent="0.2"/>
    <row r="132" ht="15.95" customHeight="1" x14ac:dyDescent="0.2"/>
    <row r="133" ht="15.95" customHeight="1" x14ac:dyDescent="0.2"/>
    <row r="134" ht="15.95" customHeight="1" x14ac:dyDescent="0.2"/>
    <row r="135" ht="15.95" customHeight="1" x14ac:dyDescent="0.2"/>
    <row r="136" ht="15.95" customHeight="1" x14ac:dyDescent="0.2"/>
    <row r="137" ht="15.95" customHeight="1" x14ac:dyDescent="0.2"/>
    <row r="138" ht="15.95" customHeight="1" x14ac:dyDescent="0.2"/>
    <row r="139" ht="15.95" customHeight="1" x14ac:dyDescent="0.2"/>
    <row r="140" ht="15.95" customHeight="1" x14ac:dyDescent="0.2"/>
    <row r="141" ht="15.95" customHeight="1" x14ac:dyDescent="0.2"/>
    <row r="142" ht="15.95" customHeight="1" x14ac:dyDescent="0.2"/>
    <row r="143" ht="15.95" customHeight="1" x14ac:dyDescent="0.2"/>
    <row r="144" ht="15.95" customHeight="1" x14ac:dyDescent="0.2"/>
    <row r="145" ht="15.95" customHeight="1" x14ac:dyDescent="0.2"/>
    <row r="146" ht="15.95" customHeight="1" x14ac:dyDescent="0.2"/>
    <row r="147" ht="15.95" customHeight="1" x14ac:dyDescent="0.2"/>
    <row r="148" ht="15.95" customHeight="1" x14ac:dyDescent="0.2"/>
    <row r="149" ht="15.95" customHeight="1" x14ac:dyDescent="0.2"/>
    <row r="150" ht="15.95" customHeight="1" x14ac:dyDescent="0.2"/>
    <row r="151" ht="15.95" customHeight="1" x14ac:dyDescent="0.2"/>
    <row r="152" ht="15.95" customHeight="1" x14ac:dyDescent="0.2"/>
    <row r="153" ht="15.95" customHeight="1" x14ac:dyDescent="0.2"/>
    <row r="154" ht="15.95" customHeight="1" x14ac:dyDescent="0.2"/>
    <row r="155" ht="15.95" customHeight="1" x14ac:dyDescent="0.2"/>
    <row r="156" ht="15.95" customHeight="1" x14ac:dyDescent="0.2"/>
    <row r="157" ht="15.95" customHeight="1" x14ac:dyDescent="0.2"/>
    <row r="158" ht="15.95" customHeight="1" x14ac:dyDescent="0.2"/>
    <row r="159" ht="15.95" customHeight="1" x14ac:dyDescent="0.2"/>
    <row r="160" ht="15.95" customHeight="1" x14ac:dyDescent="0.2"/>
    <row r="161" ht="15.95" customHeight="1" x14ac:dyDescent="0.2"/>
    <row r="162" ht="15.95" customHeight="1" x14ac:dyDescent="0.2"/>
    <row r="163" ht="15.95" customHeight="1" x14ac:dyDescent="0.2"/>
    <row r="164" ht="15.95" customHeight="1" x14ac:dyDescent="0.2"/>
    <row r="165" ht="15.95" customHeight="1" x14ac:dyDescent="0.2"/>
    <row r="166" ht="15.95" customHeight="1" x14ac:dyDescent="0.2"/>
    <row r="167" ht="15.95" customHeight="1" x14ac:dyDescent="0.2"/>
    <row r="168" ht="15.95" customHeight="1" x14ac:dyDescent="0.2"/>
    <row r="169" ht="15.95" customHeight="1" x14ac:dyDescent="0.2"/>
    <row r="170" ht="15.95" customHeight="1" x14ac:dyDescent="0.2"/>
    <row r="171" ht="15.95" customHeight="1" x14ac:dyDescent="0.2"/>
    <row r="172" ht="15.95" customHeight="1" x14ac:dyDescent="0.2"/>
    <row r="173" ht="15.95" customHeight="1" x14ac:dyDescent="0.2"/>
    <row r="174" ht="15.95" customHeight="1" x14ac:dyDescent="0.2"/>
    <row r="175" ht="15.95" customHeight="1" x14ac:dyDescent="0.2"/>
    <row r="176" ht="15.95" customHeight="1" x14ac:dyDescent="0.2"/>
    <row r="177" ht="15.95" customHeight="1" x14ac:dyDescent="0.2"/>
    <row r="178" ht="15.95" customHeight="1" x14ac:dyDescent="0.2"/>
    <row r="179" ht="15.95" customHeight="1" x14ac:dyDescent="0.2"/>
    <row r="180" ht="15.95" customHeight="1" x14ac:dyDescent="0.2"/>
    <row r="181" ht="15.95" customHeight="1" x14ac:dyDescent="0.2"/>
    <row r="182" ht="15.95" customHeight="1" x14ac:dyDescent="0.2"/>
    <row r="183" ht="15.95" customHeight="1" x14ac:dyDescent="0.2"/>
    <row r="184" ht="15.95" customHeight="1" x14ac:dyDescent="0.2"/>
    <row r="185" ht="15.95" customHeight="1" x14ac:dyDescent="0.2"/>
    <row r="186" ht="15.95" customHeight="1" x14ac:dyDescent="0.2"/>
    <row r="187" ht="15.95" customHeight="1" x14ac:dyDescent="0.2"/>
    <row r="188" ht="15.95" customHeight="1" x14ac:dyDescent="0.2"/>
    <row r="189" ht="15.95" customHeight="1" x14ac:dyDescent="0.2"/>
    <row r="190" ht="15.95" customHeight="1" x14ac:dyDescent="0.2"/>
    <row r="191" ht="15.95" customHeight="1" x14ac:dyDescent="0.2"/>
    <row r="192" ht="15.95" customHeight="1" x14ac:dyDescent="0.2"/>
    <row r="193" ht="15.95" customHeight="1" x14ac:dyDescent="0.2"/>
    <row r="194" ht="15.95" customHeight="1" x14ac:dyDescent="0.2"/>
    <row r="195" ht="15.95" customHeight="1" x14ac:dyDescent="0.2"/>
    <row r="196" ht="15.95" customHeight="1" x14ac:dyDescent="0.2"/>
    <row r="197" ht="15.95" customHeight="1" x14ac:dyDescent="0.2"/>
    <row r="198" ht="15.95" customHeight="1" x14ac:dyDescent="0.2"/>
    <row r="199" ht="15.95" customHeight="1" x14ac:dyDescent="0.2"/>
    <row r="200" ht="15.95" customHeight="1" x14ac:dyDescent="0.2"/>
    <row r="201" ht="15.95" customHeight="1" x14ac:dyDescent="0.2"/>
    <row r="202" ht="15.95" customHeight="1" x14ac:dyDescent="0.2"/>
    <row r="203" ht="15.95" customHeight="1" x14ac:dyDescent="0.2"/>
    <row r="204" ht="15.95" customHeight="1" x14ac:dyDescent="0.2"/>
    <row r="205" ht="15.95" customHeight="1" x14ac:dyDescent="0.2"/>
    <row r="206" ht="15.95" customHeight="1" x14ac:dyDescent="0.2"/>
    <row r="207" ht="15.95" customHeight="1" x14ac:dyDescent="0.2"/>
    <row r="208" ht="15.95" customHeight="1" x14ac:dyDescent="0.2"/>
    <row r="209" ht="15.95" customHeight="1" x14ac:dyDescent="0.2"/>
    <row r="210" ht="15.95" customHeight="1" x14ac:dyDescent="0.2"/>
    <row r="211" ht="15.95" customHeight="1" x14ac:dyDescent="0.2"/>
    <row r="212" ht="15.95" customHeight="1" x14ac:dyDescent="0.2"/>
    <row r="213" ht="15.95" customHeight="1" x14ac:dyDescent="0.2"/>
    <row r="214" ht="15.95" customHeight="1" x14ac:dyDescent="0.2"/>
    <row r="215" ht="15.95" customHeight="1" x14ac:dyDescent="0.2"/>
    <row r="216" ht="15.95" customHeight="1" x14ac:dyDescent="0.2"/>
    <row r="217" ht="15.95" customHeight="1" x14ac:dyDescent="0.2"/>
    <row r="218" ht="15.95" customHeight="1" x14ac:dyDescent="0.2"/>
    <row r="219" ht="15.95" customHeight="1" x14ac:dyDescent="0.2"/>
    <row r="220" ht="15.95" customHeight="1" x14ac:dyDescent="0.2"/>
    <row r="221" ht="15.95" customHeight="1" x14ac:dyDescent="0.2"/>
    <row r="222" ht="15.95" customHeight="1" x14ac:dyDescent="0.2"/>
    <row r="223" ht="15.95" customHeight="1" x14ac:dyDescent="0.2"/>
    <row r="224" ht="15.95" customHeight="1" x14ac:dyDescent="0.2"/>
    <row r="225" ht="15.95" customHeight="1" x14ac:dyDescent="0.2"/>
    <row r="226" ht="15.95" customHeight="1" x14ac:dyDescent="0.2"/>
    <row r="227" ht="15.95" customHeight="1" x14ac:dyDescent="0.2"/>
    <row r="228" ht="15.95" customHeight="1" x14ac:dyDescent="0.2"/>
    <row r="229" ht="15.95" customHeight="1" x14ac:dyDescent="0.2"/>
    <row r="230" ht="15.95" customHeight="1" x14ac:dyDescent="0.2"/>
    <row r="231" ht="15.95" customHeight="1" x14ac:dyDescent="0.2"/>
    <row r="232" ht="15.95" customHeight="1" x14ac:dyDescent="0.2"/>
    <row r="233" ht="15.95" customHeight="1" x14ac:dyDescent="0.2"/>
    <row r="234" ht="15.95" customHeight="1" x14ac:dyDescent="0.2"/>
    <row r="235" ht="15.95" customHeight="1" x14ac:dyDescent="0.2"/>
    <row r="236" ht="15.95" customHeight="1" x14ac:dyDescent="0.2"/>
    <row r="237" ht="15.95" customHeight="1" x14ac:dyDescent="0.2"/>
    <row r="238" ht="15.95" customHeight="1" x14ac:dyDescent="0.2"/>
    <row r="239" ht="15.95" customHeight="1" x14ac:dyDescent="0.2"/>
    <row r="240" ht="15.95" customHeight="1" x14ac:dyDescent="0.2"/>
    <row r="241" ht="15.95" customHeight="1" x14ac:dyDescent="0.2"/>
    <row r="242" ht="15.95" customHeight="1" x14ac:dyDescent="0.2"/>
    <row r="243" ht="15.95" customHeight="1" x14ac:dyDescent="0.2"/>
    <row r="244" ht="15.95" customHeight="1" x14ac:dyDescent="0.2"/>
    <row r="245" ht="15.95" customHeight="1" x14ac:dyDescent="0.2"/>
    <row r="246" ht="15.95" customHeight="1" x14ac:dyDescent="0.2"/>
    <row r="247" ht="15.95" customHeight="1" x14ac:dyDescent="0.2"/>
    <row r="248" ht="15.95" customHeight="1" x14ac:dyDescent="0.2"/>
    <row r="249" ht="15.95" customHeight="1" x14ac:dyDescent="0.2"/>
    <row r="250" ht="15.95" customHeight="1" x14ac:dyDescent="0.2"/>
    <row r="251" ht="15.95" customHeight="1" x14ac:dyDescent="0.2"/>
    <row r="252" ht="15.95" customHeight="1" x14ac:dyDescent="0.2"/>
    <row r="253" ht="15.95" customHeight="1" x14ac:dyDescent="0.2"/>
    <row r="254" ht="15.95" customHeight="1" x14ac:dyDescent="0.2"/>
    <row r="255" ht="15.95" customHeight="1" x14ac:dyDescent="0.2"/>
    <row r="256" ht="15.95" customHeight="1" x14ac:dyDescent="0.2"/>
    <row r="257" ht="15.95" customHeight="1" x14ac:dyDescent="0.2"/>
    <row r="258" ht="15.95" customHeight="1" x14ac:dyDescent="0.2"/>
    <row r="259" ht="15.95" customHeight="1" x14ac:dyDescent="0.2"/>
    <row r="260" ht="15.95" customHeight="1" x14ac:dyDescent="0.2"/>
    <row r="261" ht="15.95" customHeight="1" x14ac:dyDescent="0.2"/>
    <row r="262" ht="15.95" customHeight="1" x14ac:dyDescent="0.2"/>
    <row r="263" ht="15.95" customHeight="1" x14ac:dyDescent="0.2"/>
    <row r="264" ht="15.95" customHeight="1" x14ac:dyDescent="0.2"/>
    <row r="265" ht="15.95" customHeight="1" x14ac:dyDescent="0.2"/>
    <row r="266" ht="15.95" customHeight="1" x14ac:dyDescent="0.2"/>
    <row r="267" ht="15.95" customHeight="1" x14ac:dyDescent="0.2"/>
    <row r="268" ht="15.95" customHeight="1" x14ac:dyDescent="0.2"/>
    <row r="269" ht="15.95" customHeight="1" x14ac:dyDescent="0.2"/>
    <row r="270" ht="15.95" customHeight="1" x14ac:dyDescent="0.2"/>
    <row r="271" ht="15.95" customHeight="1" x14ac:dyDescent="0.2"/>
    <row r="272" ht="15.95" customHeight="1" x14ac:dyDescent="0.2"/>
    <row r="273" ht="15.95" customHeight="1" x14ac:dyDescent="0.2"/>
    <row r="274" ht="15.95" customHeight="1" x14ac:dyDescent="0.2"/>
    <row r="275" ht="15.95" customHeight="1" x14ac:dyDescent="0.2"/>
    <row r="276" ht="15.95" customHeight="1" x14ac:dyDescent="0.2"/>
    <row r="277" ht="15.95" customHeight="1" x14ac:dyDescent="0.2"/>
    <row r="278" ht="15.95" customHeight="1" x14ac:dyDescent="0.2"/>
    <row r="279" ht="15.95" customHeight="1" x14ac:dyDescent="0.2"/>
    <row r="280" ht="15.95" customHeight="1" x14ac:dyDescent="0.2"/>
    <row r="281" ht="15.95" customHeight="1" x14ac:dyDescent="0.2"/>
    <row r="282" ht="15.95" customHeight="1" x14ac:dyDescent="0.2"/>
    <row r="283" ht="15.95" customHeight="1" x14ac:dyDescent="0.2"/>
    <row r="284" ht="15.95" customHeight="1" x14ac:dyDescent="0.2"/>
    <row r="285" ht="15.95" customHeight="1" x14ac:dyDescent="0.2"/>
    <row r="286" ht="15.95" customHeight="1" x14ac:dyDescent="0.2"/>
    <row r="287" ht="15.95" customHeight="1" x14ac:dyDescent="0.2"/>
    <row r="288" ht="15.95" customHeight="1" x14ac:dyDescent="0.2"/>
    <row r="289" ht="15.95" customHeight="1" x14ac:dyDescent="0.2"/>
    <row r="290" ht="15.95" customHeight="1" x14ac:dyDescent="0.2"/>
    <row r="291" ht="15.95" customHeight="1" x14ac:dyDescent="0.2"/>
    <row r="292" ht="15.95" customHeight="1" x14ac:dyDescent="0.2"/>
    <row r="293" ht="15.95" customHeight="1" x14ac:dyDescent="0.2"/>
    <row r="294" ht="15.95" customHeight="1" x14ac:dyDescent="0.2"/>
    <row r="295" ht="15.95" customHeight="1" x14ac:dyDescent="0.2"/>
    <row r="296" ht="15.95" customHeight="1" x14ac:dyDescent="0.2"/>
    <row r="297" ht="15.95" customHeight="1" x14ac:dyDescent="0.2"/>
    <row r="298" ht="15.95" customHeight="1" x14ac:dyDescent="0.2"/>
    <row r="299" ht="15.95" customHeight="1" x14ac:dyDescent="0.2"/>
    <row r="300" ht="15.95" customHeight="1" x14ac:dyDescent="0.2"/>
    <row r="301" ht="15.95" customHeight="1" x14ac:dyDescent="0.2"/>
    <row r="302" ht="15.95" customHeight="1" x14ac:dyDescent="0.2"/>
    <row r="303" ht="15.95" customHeight="1" x14ac:dyDescent="0.2"/>
    <row r="304" ht="15.95" customHeight="1" x14ac:dyDescent="0.2"/>
    <row r="305" ht="15.95" customHeight="1" x14ac:dyDescent="0.2"/>
    <row r="306" ht="15.95" customHeight="1" x14ac:dyDescent="0.2"/>
    <row r="307" ht="15.95" customHeight="1" x14ac:dyDescent="0.2"/>
    <row r="308" ht="15.95" customHeight="1" x14ac:dyDescent="0.2"/>
    <row r="309" ht="15.95" customHeight="1" x14ac:dyDescent="0.2"/>
    <row r="310" ht="15.95" customHeight="1" x14ac:dyDescent="0.2"/>
    <row r="311" ht="15.95" customHeight="1" x14ac:dyDescent="0.2"/>
    <row r="312" ht="15.95" customHeight="1" x14ac:dyDescent="0.2"/>
    <row r="313" ht="15.95" customHeight="1" x14ac:dyDescent="0.2"/>
    <row r="314" ht="15.95" customHeight="1" x14ac:dyDescent="0.2"/>
    <row r="315" ht="15.95" customHeight="1" x14ac:dyDescent="0.2"/>
    <row r="316" ht="15.95" customHeight="1" x14ac:dyDescent="0.2"/>
    <row r="317" ht="15.95" customHeight="1" x14ac:dyDescent="0.2"/>
    <row r="318" ht="15.95" customHeight="1" x14ac:dyDescent="0.2"/>
    <row r="319" ht="15.95" customHeight="1" x14ac:dyDescent="0.2"/>
    <row r="320" ht="15.95" customHeight="1" x14ac:dyDescent="0.2"/>
    <row r="321" ht="15.95" customHeight="1" x14ac:dyDescent="0.2"/>
    <row r="322" ht="15.95" customHeight="1" x14ac:dyDescent="0.2"/>
    <row r="323" ht="15.95" customHeight="1" x14ac:dyDescent="0.2"/>
    <row r="324" ht="15.95" customHeight="1" x14ac:dyDescent="0.2"/>
    <row r="325" ht="15.95" customHeight="1" x14ac:dyDescent="0.2"/>
    <row r="326" ht="15.95" customHeight="1" x14ac:dyDescent="0.2"/>
    <row r="327" ht="15.95" customHeight="1" x14ac:dyDescent="0.2"/>
    <row r="328" ht="15.95" customHeight="1" x14ac:dyDescent="0.2"/>
    <row r="329" ht="15.95" customHeight="1" x14ac:dyDescent="0.2"/>
    <row r="330" ht="15.95" customHeight="1" x14ac:dyDescent="0.2"/>
    <row r="331" ht="15.95" customHeight="1" x14ac:dyDescent="0.2"/>
    <row r="332" ht="15.95" customHeight="1" x14ac:dyDescent="0.2"/>
    <row r="333" ht="15.95" customHeight="1" x14ac:dyDescent="0.2"/>
    <row r="334" ht="15.95" customHeight="1" x14ac:dyDescent="0.2"/>
    <row r="335" ht="15.95" customHeight="1" x14ac:dyDescent="0.2"/>
    <row r="336" ht="15.95" customHeight="1" x14ac:dyDescent="0.2"/>
    <row r="337" ht="15.95" customHeight="1" x14ac:dyDescent="0.2"/>
    <row r="338" ht="15.95" customHeight="1" x14ac:dyDescent="0.2"/>
    <row r="339" ht="15.95" customHeight="1" x14ac:dyDescent="0.2"/>
    <row r="340" ht="15.95" customHeight="1" x14ac:dyDescent="0.2"/>
    <row r="341" ht="15.95" customHeight="1" x14ac:dyDescent="0.2"/>
    <row r="342" ht="15.95" customHeight="1" x14ac:dyDescent="0.2"/>
    <row r="343" ht="15.95" customHeight="1" x14ac:dyDescent="0.2"/>
    <row r="344" ht="15.95" customHeight="1" x14ac:dyDescent="0.2"/>
    <row r="345" ht="15.95" customHeight="1" x14ac:dyDescent="0.2"/>
    <row r="346" ht="15.95" customHeight="1" x14ac:dyDescent="0.2"/>
    <row r="347" ht="15.95" customHeight="1" x14ac:dyDescent="0.2"/>
    <row r="348" ht="15.95" customHeight="1" x14ac:dyDescent="0.2"/>
    <row r="349" ht="15.95" customHeight="1" x14ac:dyDescent="0.2"/>
    <row r="350" ht="15.95" customHeight="1" x14ac:dyDescent="0.2"/>
    <row r="351" ht="15.95" customHeight="1" x14ac:dyDescent="0.2"/>
    <row r="352" ht="15.95" customHeight="1" x14ac:dyDescent="0.2"/>
    <row r="353" ht="15.95" customHeight="1" x14ac:dyDescent="0.2"/>
    <row r="354" ht="15.95" customHeight="1" x14ac:dyDescent="0.2"/>
    <row r="355" ht="15.95" customHeight="1" x14ac:dyDescent="0.2"/>
    <row r="356" ht="15.95" customHeight="1" x14ac:dyDescent="0.2"/>
    <row r="357" ht="15.95" customHeight="1" x14ac:dyDescent="0.2"/>
    <row r="358" ht="15.95" customHeight="1" x14ac:dyDescent="0.2"/>
    <row r="359" ht="15.95" customHeight="1" x14ac:dyDescent="0.2"/>
    <row r="360" ht="15.95" customHeight="1" x14ac:dyDescent="0.2"/>
    <row r="361" ht="15.95" customHeight="1" x14ac:dyDescent="0.2"/>
    <row r="362" ht="15.95" customHeight="1" x14ac:dyDescent="0.2"/>
    <row r="363" ht="15.95" customHeight="1" x14ac:dyDescent="0.2"/>
    <row r="364" ht="15.95" customHeight="1" x14ac:dyDescent="0.2"/>
    <row r="365" ht="15.95" customHeight="1" x14ac:dyDescent="0.2"/>
    <row r="366" ht="15.95" customHeight="1" x14ac:dyDescent="0.2"/>
    <row r="367" ht="15.95" customHeight="1" x14ac:dyDescent="0.2"/>
    <row r="368" ht="15.95" customHeight="1" x14ac:dyDescent="0.2"/>
    <row r="369" ht="15.95" customHeight="1" x14ac:dyDescent="0.2"/>
    <row r="370" ht="15.95" customHeight="1" x14ac:dyDescent="0.2"/>
    <row r="371" ht="15.95" customHeight="1" x14ac:dyDescent="0.2"/>
    <row r="372" ht="15.95" customHeight="1" x14ac:dyDescent="0.2"/>
    <row r="373" ht="15.95" customHeight="1" x14ac:dyDescent="0.2"/>
    <row r="374" ht="15.95" customHeight="1" x14ac:dyDescent="0.2"/>
    <row r="375" ht="15.95" customHeight="1" x14ac:dyDescent="0.2"/>
    <row r="376" ht="15.95" customHeight="1" x14ac:dyDescent="0.2"/>
    <row r="377" ht="15.95" customHeight="1" x14ac:dyDescent="0.2"/>
    <row r="378" ht="15.95" customHeight="1" x14ac:dyDescent="0.2"/>
    <row r="379" ht="15.95" customHeight="1" x14ac:dyDescent="0.2"/>
    <row r="380" ht="15.95" customHeight="1" x14ac:dyDescent="0.2"/>
    <row r="381" ht="15.95" customHeight="1" x14ac:dyDescent="0.2"/>
    <row r="382" ht="15.95" customHeight="1" x14ac:dyDescent="0.2"/>
    <row r="383" ht="15.95" customHeight="1" x14ac:dyDescent="0.2"/>
    <row r="384" ht="15.95" customHeight="1" x14ac:dyDescent="0.2"/>
    <row r="385" ht="15.95" customHeight="1" x14ac:dyDescent="0.2"/>
    <row r="386" ht="15.95" customHeight="1" x14ac:dyDescent="0.2"/>
    <row r="387" ht="15.95" customHeight="1" x14ac:dyDescent="0.2"/>
    <row r="388" ht="15.95" customHeight="1" x14ac:dyDescent="0.2"/>
    <row r="389" ht="15.95" customHeight="1" x14ac:dyDescent="0.2"/>
    <row r="390" ht="15.95" customHeight="1" x14ac:dyDescent="0.2"/>
    <row r="391" ht="15.95" customHeight="1" x14ac:dyDescent="0.2"/>
    <row r="392" ht="15.95" customHeight="1" x14ac:dyDescent="0.2"/>
    <row r="393" ht="15.95" customHeight="1" x14ac:dyDescent="0.2"/>
    <row r="394" ht="15.95" customHeight="1" x14ac:dyDescent="0.2"/>
    <row r="395" ht="15.95" customHeight="1" x14ac:dyDescent="0.2"/>
    <row r="396" ht="15.95" customHeight="1" x14ac:dyDescent="0.2"/>
    <row r="397" ht="15.95" customHeight="1" x14ac:dyDescent="0.2"/>
    <row r="398" ht="15.95" customHeight="1" x14ac:dyDescent="0.2"/>
    <row r="399" ht="15.95" customHeight="1" x14ac:dyDescent="0.2"/>
    <row r="400" ht="15.95" customHeight="1" x14ac:dyDescent="0.2"/>
    <row r="401" ht="15.95" customHeight="1" x14ac:dyDescent="0.2"/>
    <row r="402" ht="15.95" customHeight="1" x14ac:dyDescent="0.2"/>
    <row r="403" ht="15.95" customHeight="1" x14ac:dyDescent="0.2"/>
    <row r="404" ht="15.95" customHeight="1" x14ac:dyDescent="0.2"/>
    <row r="405" ht="15.95" customHeight="1" x14ac:dyDescent="0.2"/>
    <row r="406" ht="15.95" customHeight="1" x14ac:dyDescent="0.2"/>
    <row r="407" ht="15.95" customHeight="1" x14ac:dyDescent="0.2"/>
    <row r="408" ht="15.95" customHeight="1" x14ac:dyDescent="0.2"/>
    <row r="409" ht="15.95" customHeight="1" x14ac:dyDescent="0.2"/>
    <row r="410" ht="15.95" customHeight="1" x14ac:dyDescent="0.2"/>
    <row r="411" ht="15.95" customHeight="1" x14ac:dyDescent="0.2"/>
    <row r="412" ht="15.95" customHeight="1" x14ac:dyDescent="0.2"/>
    <row r="413" ht="15.95" customHeight="1" x14ac:dyDescent="0.2"/>
    <row r="414" ht="15.95" customHeight="1" x14ac:dyDescent="0.2"/>
    <row r="415" ht="15.95" customHeight="1" x14ac:dyDescent="0.2"/>
    <row r="416" ht="15.95" customHeight="1" x14ac:dyDescent="0.2"/>
    <row r="417" ht="15.95" customHeight="1" x14ac:dyDescent="0.2"/>
    <row r="418" ht="15.95" customHeight="1" x14ac:dyDescent="0.2"/>
    <row r="419" ht="15.95" customHeight="1" x14ac:dyDescent="0.2"/>
    <row r="420" ht="15.95" customHeight="1" x14ac:dyDescent="0.2"/>
    <row r="421" ht="15.95" customHeight="1" x14ac:dyDescent="0.2"/>
    <row r="422" ht="15.95" customHeight="1" x14ac:dyDescent="0.2"/>
    <row r="423" ht="15.95" customHeight="1" x14ac:dyDescent="0.2"/>
    <row r="424" ht="15.95" customHeight="1" x14ac:dyDescent="0.2"/>
    <row r="425" ht="15.95" customHeight="1" x14ac:dyDescent="0.2"/>
    <row r="426" ht="15.95" customHeight="1" x14ac:dyDescent="0.2"/>
    <row r="427" ht="15.95" customHeight="1" x14ac:dyDescent="0.2"/>
    <row r="428" ht="15.95" customHeight="1" x14ac:dyDescent="0.2"/>
    <row r="429" ht="15.95" customHeight="1" x14ac:dyDescent="0.2"/>
    <row r="430" ht="15.95" customHeight="1" x14ac:dyDescent="0.2"/>
    <row r="431" ht="15.95" customHeight="1" x14ac:dyDescent="0.2"/>
    <row r="432" ht="15.95" customHeight="1" x14ac:dyDescent="0.2"/>
    <row r="433" ht="15.95" customHeight="1" x14ac:dyDescent="0.2"/>
    <row r="434" ht="15.95" customHeight="1" x14ac:dyDescent="0.2"/>
    <row r="435" ht="15.95" customHeight="1" x14ac:dyDescent="0.2"/>
    <row r="436" ht="15.95" customHeight="1" x14ac:dyDescent="0.2"/>
    <row r="437" ht="15.95" customHeight="1" x14ac:dyDescent="0.2"/>
    <row r="438" ht="15.95" customHeight="1" x14ac:dyDescent="0.2"/>
    <row r="439" ht="15.95" customHeight="1" x14ac:dyDescent="0.2"/>
    <row r="440" ht="15.95" customHeight="1" x14ac:dyDescent="0.2"/>
    <row r="441" ht="15.95" customHeight="1" x14ac:dyDescent="0.2"/>
    <row r="442" ht="15.95" customHeight="1" x14ac:dyDescent="0.2"/>
    <row r="443" ht="15.95" customHeight="1" x14ac:dyDescent="0.2"/>
    <row r="444" ht="15.95" customHeight="1" x14ac:dyDescent="0.2"/>
    <row r="445" ht="15.95" customHeight="1" x14ac:dyDescent="0.2"/>
    <row r="446" ht="15.95" customHeight="1" x14ac:dyDescent="0.2"/>
    <row r="447" ht="15.95" customHeight="1" x14ac:dyDescent="0.2"/>
    <row r="448" ht="15.95" customHeight="1" x14ac:dyDescent="0.2"/>
    <row r="449" ht="15.95" customHeight="1" x14ac:dyDescent="0.2"/>
    <row r="450" ht="15.95" customHeight="1" x14ac:dyDescent="0.2"/>
    <row r="451" ht="15.95" customHeight="1" x14ac:dyDescent="0.2"/>
    <row r="452" ht="15.95" customHeight="1" x14ac:dyDescent="0.2"/>
    <row r="453" ht="15.95" customHeight="1" x14ac:dyDescent="0.2"/>
    <row r="454" ht="15.95" customHeight="1" x14ac:dyDescent="0.2"/>
    <row r="455" ht="15.95" customHeight="1" x14ac:dyDescent="0.2"/>
    <row r="456" ht="15.95" customHeight="1" x14ac:dyDescent="0.2"/>
    <row r="457" ht="15.95" customHeight="1" x14ac:dyDescent="0.2"/>
    <row r="458" ht="15.95" customHeight="1" x14ac:dyDescent="0.2"/>
    <row r="459" ht="15.95" customHeight="1" x14ac:dyDescent="0.2"/>
    <row r="460" ht="15.95" customHeight="1" x14ac:dyDescent="0.2"/>
    <row r="461" ht="15.95" customHeight="1" x14ac:dyDescent="0.2"/>
    <row r="462" ht="15.95" customHeight="1" x14ac:dyDescent="0.2"/>
    <row r="463" ht="15.95" customHeight="1" x14ac:dyDescent="0.2"/>
    <row r="464" ht="15.95" customHeight="1" x14ac:dyDescent="0.2"/>
    <row r="465" ht="15.95" customHeight="1" x14ac:dyDescent="0.2"/>
    <row r="466" ht="15.95" customHeight="1" x14ac:dyDescent="0.2"/>
    <row r="467" ht="15.95" customHeight="1" x14ac:dyDescent="0.2"/>
    <row r="468" ht="15.95" customHeight="1" x14ac:dyDescent="0.2"/>
    <row r="469" ht="15.95" customHeight="1" x14ac:dyDescent="0.2"/>
    <row r="470" ht="15.95" customHeight="1" x14ac:dyDescent="0.2"/>
    <row r="471" ht="15.95" customHeight="1" x14ac:dyDescent="0.2"/>
    <row r="472" ht="15.95" customHeight="1" x14ac:dyDescent="0.2"/>
    <row r="473" ht="15.95" customHeight="1" x14ac:dyDescent="0.2"/>
    <row r="474" ht="15.95" customHeight="1" x14ac:dyDescent="0.2"/>
    <row r="475" ht="15.95" customHeight="1" x14ac:dyDescent="0.2"/>
    <row r="476" ht="15.95" customHeight="1" x14ac:dyDescent="0.2"/>
    <row r="477" ht="15.95" customHeight="1" x14ac:dyDescent="0.2"/>
    <row r="478" ht="15.95" customHeight="1" x14ac:dyDescent="0.2"/>
    <row r="479" ht="15.95" customHeight="1" x14ac:dyDescent="0.2"/>
    <row r="480" ht="15.95" customHeight="1" x14ac:dyDescent="0.2"/>
    <row r="481" ht="15.95" customHeight="1" x14ac:dyDescent="0.2"/>
    <row r="482" ht="15.95" customHeight="1" x14ac:dyDescent="0.2"/>
    <row r="483" ht="15.95" customHeight="1" x14ac:dyDescent="0.2"/>
    <row r="484" ht="15.95" customHeight="1" x14ac:dyDescent="0.2"/>
    <row r="485" ht="15.95" customHeight="1" x14ac:dyDescent="0.2"/>
    <row r="486" ht="15.95" customHeight="1" x14ac:dyDescent="0.2"/>
    <row r="487" ht="15.95" customHeight="1" x14ac:dyDescent="0.2"/>
    <row r="488" ht="15.95" customHeight="1" x14ac:dyDescent="0.2"/>
    <row r="489" ht="15.95" customHeight="1" x14ac:dyDescent="0.2"/>
    <row r="490" ht="15.95" customHeight="1" x14ac:dyDescent="0.2"/>
    <row r="491" ht="15.95" customHeight="1" x14ac:dyDescent="0.2"/>
    <row r="492" ht="15.95" customHeight="1" x14ac:dyDescent="0.2"/>
    <row r="493" ht="15.95" customHeight="1" x14ac:dyDescent="0.2"/>
    <row r="494" ht="15.95" customHeight="1" x14ac:dyDescent="0.2"/>
    <row r="495" ht="15.95" customHeight="1" x14ac:dyDescent="0.2"/>
    <row r="496" ht="15.95" customHeight="1" x14ac:dyDescent="0.2"/>
    <row r="497" ht="15.95" customHeight="1" x14ac:dyDescent="0.2"/>
    <row r="498" ht="15.95" customHeight="1" x14ac:dyDescent="0.2"/>
    <row r="499" ht="15.95" customHeight="1" x14ac:dyDescent="0.2"/>
    <row r="500" ht="15.95" customHeight="1" x14ac:dyDescent="0.2"/>
  </sheetData>
  <phoneticPr fontId="0" type="noConversion"/>
  <pageMargins left="0.75" right="0.75" top="1" bottom="1" header="0.5" footer="0.5"/>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3"/>
  <sheetViews>
    <sheetView workbookViewId="0">
      <selection activeCell="M37" sqref="M37"/>
    </sheetView>
  </sheetViews>
  <sheetFormatPr defaultRowHeight="12.75" x14ac:dyDescent="0.2"/>
  <cols>
    <col min="1" max="1" width="3" bestFit="1" customWidth="1"/>
    <col min="2" max="2" width="11" bestFit="1" customWidth="1"/>
    <col min="3" max="5" width="7.5703125" bestFit="1" customWidth="1"/>
    <col min="6" max="6" width="6.5703125" bestFit="1" customWidth="1"/>
    <col min="7" max="7" width="7.5703125" bestFit="1" customWidth="1"/>
    <col min="8" max="8" width="8.5703125" bestFit="1" customWidth="1"/>
    <col min="9" max="9" width="10.5703125" bestFit="1" customWidth="1"/>
    <col min="10" max="10" width="8.5703125" bestFit="1" customWidth="1"/>
    <col min="11" max="11" width="4.85546875" bestFit="1" customWidth="1"/>
    <col min="12" max="12" width="10.5703125" bestFit="1" customWidth="1"/>
    <col min="13" max="13" width="4.85546875" customWidth="1"/>
  </cols>
  <sheetData>
    <row r="1" spans="1:15" x14ac:dyDescent="0.2">
      <c r="A1">
        <v>0</v>
      </c>
      <c r="B1" t="s">
        <v>41</v>
      </c>
      <c r="C1" t="s">
        <v>42</v>
      </c>
      <c r="D1" t="s">
        <v>40</v>
      </c>
      <c r="E1" t="s">
        <v>43</v>
      </c>
      <c r="F1" t="s">
        <v>44</v>
      </c>
      <c r="G1" t="s">
        <v>45</v>
      </c>
      <c r="I1" t="s">
        <v>50</v>
      </c>
      <c r="J1" t="s">
        <v>46</v>
      </c>
      <c r="K1" t="s">
        <v>47</v>
      </c>
    </row>
    <row r="2" spans="1:15" x14ac:dyDescent="0.2">
      <c r="A2">
        <v>1</v>
      </c>
      <c r="B2">
        <v>6403999600</v>
      </c>
      <c r="C2">
        <v>47208</v>
      </c>
      <c r="D2">
        <v>50</v>
      </c>
      <c r="E2" s="42">
        <v>126</v>
      </c>
      <c r="F2" s="42">
        <v>31</v>
      </c>
      <c r="G2" s="42">
        <v>225.4</v>
      </c>
      <c r="H2" s="42">
        <v>1550</v>
      </c>
      <c r="I2" s="42">
        <f>F2*D2+(E$42/D$39)*E2+E$43*E2</f>
        <v>1582.8196618984844</v>
      </c>
      <c r="J2">
        <v>1.25</v>
      </c>
      <c r="K2">
        <v>20</v>
      </c>
      <c r="L2" s="42">
        <f>(J2*D2*E$41)*1.2+I2*0.2</f>
        <v>397.8643936922706</v>
      </c>
      <c r="N2" s="42">
        <f>G2*C$39/D$39</f>
        <v>31.319166255080425</v>
      </c>
      <c r="O2" s="42">
        <f>N2-F2</f>
        <v>0.31916625508042529</v>
      </c>
    </row>
    <row r="3" spans="1:15" x14ac:dyDescent="0.2">
      <c r="A3">
        <v>2</v>
      </c>
      <c r="B3">
        <v>6403911100</v>
      </c>
      <c r="C3">
        <v>47209</v>
      </c>
      <c r="D3">
        <v>2</v>
      </c>
      <c r="E3" s="42">
        <v>5.04</v>
      </c>
      <c r="F3" s="42">
        <v>32.6</v>
      </c>
      <c r="G3" s="42">
        <v>237</v>
      </c>
      <c r="H3" s="42">
        <v>65.2</v>
      </c>
      <c r="I3" s="42">
        <f t="shared" ref="I3:I34" si="0">F3*D3+(E$42/D$39)*E3+E$43*E3</f>
        <v>66.512786475939379</v>
      </c>
      <c r="J3">
        <v>1.25</v>
      </c>
      <c r="K3">
        <v>20</v>
      </c>
      <c r="L3" s="42">
        <f t="shared" ref="L3:L34" si="1">(J3*D3*E$41)*1.2+I3*0.2</f>
        <v>16.554575747690826</v>
      </c>
      <c r="N3" s="42">
        <f t="shared" ref="N3:N34" si="2">G3*C$39/D$39</f>
        <v>32.930977828101426</v>
      </c>
      <c r="O3" s="42">
        <f t="shared" ref="O3:O34" si="3">N3-F3</f>
        <v>0.33097782810142462</v>
      </c>
    </row>
    <row r="4" spans="1:15" x14ac:dyDescent="0.2">
      <c r="A4">
        <v>3</v>
      </c>
      <c r="B4">
        <v>6403911800</v>
      </c>
      <c r="C4">
        <v>47209</v>
      </c>
      <c r="D4">
        <v>28</v>
      </c>
      <c r="E4" s="42">
        <v>70.56</v>
      </c>
      <c r="F4" s="42">
        <v>32.6</v>
      </c>
      <c r="G4" s="42">
        <v>237</v>
      </c>
      <c r="H4" s="42">
        <v>912.80000000000007</v>
      </c>
      <c r="I4" s="42">
        <f t="shared" si="0"/>
        <v>931.1790106631513</v>
      </c>
      <c r="J4">
        <v>1.25</v>
      </c>
      <c r="K4">
        <v>20</v>
      </c>
      <c r="L4" s="42">
        <f t="shared" si="1"/>
        <v>231.76406046767156</v>
      </c>
      <c r="N4" s="42">
        <f t="shared" si="2"/>
        <v>32.930977828101426</v>
      </c>
      <c r="O4" s="42">
        <f t="shared" si="3"/>
        <v>0.33097782810142462</v>
      </c>
    </row>
    <row r="5" spans="1:15" x14ac:dyDescent="0.2">
      <c r="A5">
        <v>4</v>
      </c>
      <c r="B5">
        <v>6403911600</v>
      </c>
      <c r="C5">
        <v>47210</v>
      </c>
      <c r="D5">
        <v>100</v>
      </c>
      <c r="E5" s="42">
        <v>252</v>
      </c>
      <c r="F5" s="42">
        <v>32.6</v>
      </c>
      <c r="G5" s="42">
        <v>237</v>
      </c>
      <c r="H5" s="42">
        <v>3260</v>
      </c>
      <c r="I5" s="42">
        <f t="shared" si="0"/>
        <v>3325.6393237969687</v>
      </c>
      <c r="J5">
        <v>1.25</v>
      </c>
      <c r="K5">
        <v>20</v>
      </c>
      <c r="L5" s="42">
        <f t="shared" si="1"/>
        <v>827.72878738454119</v>
      </c>
      <c r="N5" s="42">
        <f t="shared" si="2"/>
        <v>32.930977828101426</v>
      </c>
      <c r="O5" s="42">
        <f t="shared" si="3"/>
        <v>0.33097782810142462</v>
      </c>
    </row>
    <row r="6" spans="1:15" x14ac:dyDescent="0.2">
      <c r="A6">
        <v>5</v>
      </c>
      <c r="B6">
        <v>6403400000</v>
      </c>
      <c r="C6">
        <v>47213</v>
      </c>
      <c r="D6">
        <v>30</v>
      </c>
      <c r="E6" s="42">
        <v>75.599999999999994</v>
      </c>
      <c r="F6" s="42">
        <v>38.200000000000003</v>
      </c>
      <c r="G6" s="42">
        <v>277.7</v>
      </c>
      <c r="H6" s="42">
        <v>1146</v>
      </c>
      <c r="I6" s="42">
        <f t="shared" si="0"/>
        <v>1165.6917971390906</v>
      </c>
      <c r="J6">
        <v>1.25</v>
      </c>
      <c r="K6">
        <v>20</v>
      </c>
      <c r="L6" s="42">
        <f t="shared" si="1"/>
        <v>281.91863621536237</v>
      </c>
      <c r="N6" s="42">
        <f t="shared" si="2"/>
        <v>38.586213261028547</v>
      </c>
      <c r="O6" s="42">
        <f t="shared" si="3"/>
        <v>0.38621326102854425</v>
      </c>
    </row>
    <row r="7" spans="1:15" x14ac:dyDescent="0.2">
      <c r="A7">
        <v>6</v>
      </c>
      <c r="B7">
        <v>6403400000</v>
      </c>
      <c r="C7">
        <v>47214</v>
      </c>
      <c r="D7">
        <v>100</v>
      </c>
      <c r="E7" s="42">
        <v>252</v>
      </c>
      <c r="F7" s="42">
        <v>38.200000000000003</v>
      </c>
      <c r="G7" s="42">
        <v>277.7</v>
      </c>
      <c r="H7" s="42">
        <v>3820.0000000000005</v>
      </c>
      <c r="I7" s="42">
        <f t="shared" si="0"/>
        <v>3885.6393237969692</v>
      </c>
      <c r="J7">
        <v>1.25</v>
      </c>
      <c r="K7">
        <v>20</v>
      </c>
      <c r="L7" s="42">
        <f t="shared" si="1"/>
        <v>939.72878738454131</v>
      </c>
      <c r="N7" s="42">
        <f t="shared" si="2"/>
        <v>38.586213261028547</v>
      </c>
      <c r="O7" s="42">
        <f t="shared" si="3"/>
        <v>0.38621326102854425</v>
      </c>
    </row>
    <row r="8" spans="1:15" x14ac:dyDescent="0.2">
      <c r="A8">
        <v>7</v>
      </c>
      <c r="B8">
        <v>6403400000</v>
      </c>
      <c r="C8">
        <v>47215</v>
      </c>
      <c r="D8">
        <v>30</v>
      </c>
      <c r="E8" s="42">
        <v>75.599999999999994</v>
      </c>
      <c r="F8" s="42">
        <v>34.200000000000003</v>
      </c>
      <c r="G8" s="42">
        <v>248.6</v>
      </c>
      <c r="H8" s="42">
        <v>1026</v>
      </c>
      <c r="I8" s="42">
        <f t="shared" si="0"/>
        <v>1045.6917971390906</v>
      </c>
      <c r="J8">
        <v>1.25</v>
      </c>
      <c r="K8">
        <v>20</v>
      </c>
      <c r="L8" s="42">
        <f t="shared" si="1"/>
        <v>257.91863621536237</v>
      </c>
      <c r="N8" s="42">
        <f t="shared" si="2"/>
        <v>34.54278940112242</v>
      </c>
      <c r="O8" s="42">
        <f t="shared" si="3"/>
        <v>0.34278940112241685</v>
      </c>
    </row>
    <row r="9" spans="1:15" x14ac:dyDescent="0.2">
      <c r="A9">
        <v>8</v>
      </c>
      <c r="B9">
        <v>6403400000</v>
      </c>
      <c r="C9">
        <v>47216</v>
      </c>
      <c r="D9">
        <v>100</v>
      </c>
      <c r="E9" s="42">
        <v>252</v>
      </c>
      <c r="F9" s="42">
        <v>34.200000000000003</v>
      </c>
      <c r="G9" s="42">
        <v>248.6</v>
      </c>
      <c r="H9" s="42">
        <v>3420.0000000000005</v>
      </c>
      <c r="I9" s="42">
        <f t="shared" si="0"/>
        <v>3485.6393237969692</v>
      </c>
      <c r="J9">
        <v>1.25</v>
      </c>
      <c r="K9">
        <v>20</v>
      </c>
      <c r="L9" s="42">
        <f t="shared" si="1"/>
        <v>859.72878738454131</v>
      </c>
      <c r="N9" s="42">
        <f t="shared" si="2"/>
        <v>34.54278940112242</v>
      </c>
      <c r="O9" s="42">
        <f t="shared" si="3"/>
        <v>0.34278940112241685</v>
      </c>
    </row>
    <row r="10" spans="1:15" x14ac:dyDescent="0.2">
      <c r="A10">
        <v>9</v>
      </c>
      <c r="B10">
        <v>6403400000</v>
      </c>
      <c r="C10">
        <v>47217</v>
      </c>
      <c r="D10">
        <v>50</v>
      </c>
      <c r="E10" s="42">
        <v>126</v>
      </c>
      <c r="F10" s="42">
        <v>39.799999999999997</v>
      </c>
      <c r="G10" s="42">
        <v>289.3</v>
      </c>
      <c r="H10" s="42">
        <v>1989.9999999999998</v>
      </c>
      <c r="I10" s="42">
        <f t="shared" si="0"/>
        <v>2022.8196618984841</v>
      </c>
      <c r="J10">
        <v>1.25</v>
      </c>
      <c r="K10">
        <v>20</v>
      </c>
      <c r="L10" s="42">
        <f t="shared" si="1"/>
        <v>485.86439369227054</v>
      </c>
      <c r="N10" s="42">
        <f t="shared" si="2"/>
        <v>40.198024834049541</v>
      </c>
      <c r="O10" s="42">
        <f t="shared" si="3"/>
        <v>0.39802483404954359</v>
      </c>
    </row>
    <row r="11" spans="1:15" x14ac:dyDescent="0.2">
      <c r="A11">
        <v>10</v>
      </c>
      <c r="B11">
        <v>6403400000</v>
      </c>
      <c r="C11">
        <v>47218</v>
      </c>
      <c r="D11">
        <v>150</v>
      </c>
      <c r="E11" s="42">
        <v>378</v>
      </c>
      <c r="F11" s="42">
        <v>39.799999999999997</v>
      </c>
      <c r="G11" s="42">
        <v>289.3</v>
      </c>
      <c r="H11" s="42">
        <v>5970</v>
      </c>
      <c r="I11" s="42">
        <f t="shared" si="0"/>
        <v>6068.4589856954526</v>
      </c>
      <c r="J11">
        <v>1.25</v>
      </c>
      <c r="K11">
        <v>20</v>
      </c>
      <c r="L11" s="42">
        <f t="shared" si="1"/>
        <v>1457.5931810768118</v>
      </c>
      <c r="N11" s="42">
        <f t="shared" si="2"/>
        <v>40.198024834049541</v>
      </c>
      <c r="O11" s="42">
        <f t="shared" si="3"/>
        <v>0.39802483404954359</v>
      </c>
    </row>
    <row r="12" spans="1:15" x14ac:dyDescent="0.2">
      <c r="A12">
        <v>11</v>
      </c>
      <c r="B12">
        <v>6403400000</v>
      </c>
      <c r="C12">
        <v>47219</v>
      </c>
      <c r="D12">
        <v>30</v>
      </c>
      <c r="E12" s="42">
        <v>75.599999999999994</v>
      </c>
      <c r="F12" s="42">
        <v>37.4</v>
      </c>
      <c r="G12" s="42">
        <v>271.89999999999998</v>
      </c>
      <c r="H12" s="42">
        <v>1122</v>
      </c>
      <c r="I12" s="42">
        <f t="shared" si="0"/>
        <v>1141.6917971390906</v>
      </c>
      <c r="J12">
        <v>1.25</v>
      </c>
      <c r="K12">
        <v>20</v>
      </c>
      <c r="L12" s="42">
        <f t="shared" si="1"/>
        <v>277.11863621536236</v>
      </c>
      <c r="N12" s="42">
        <f t="shared" si="2"/>
        <v>37.78030747451804</v>
      </c>
      <c r="O12" s="42">
        <f t="shared" si="3"/>
        <v>0.38030747451804103</v>
      </c>
    </row>
    <row r="13" spans="1:15" x14ac:dyDescent="0.2">
      <c r="A13">
        <v>12</v>
      </c>
      <c r="B13">
        <v>6403400000</v>
      </c>
      <c r="C13">
        <v>47220</v>
      </c>
      <c r="D13">
        <v>100</v>
      </c>
      <c r="E13" s="42">
        <v>252</v>
      </c>
      <c r="F13" s="42">
        <v>37.4</v>
      </c>
      <c r="G13" s="42">
        <v>271.89999999999998</v>
      </c>
      <c r="H13" s="42">
        <v>3740</v>
      </c>
      <c r="I13" s="42">
        <f t="shared" si="0"/>
        <v>3805.6393237969687</v>
      </c>
      <c r="J13">
        <v>1.25</v>
      </c>
      <c r="K13">
        <v>20</v>
      </c>
      <c r="L13" s="42">
        <f t="shared" si="1"/>
        <v>923.72878738454119</v>
      </c>
      <c r="N13" s="42">
        <f t="shared" si="2"/>
        <v>37.78030747451804</v>
      </c>
      <c r="O13" s="42">
        <f t="shared" si="3"/>
        <v>0.38030747451804103</v>
      </c>
    </row>
    <row r="14" spans="1:15" x14ac:dyDescent="0.2">
      <c r="A14">
        <v>13</v>
      </c>
      <c r="B14">
        <v>6403400000</v>
      </c>
      <c r="C14">
        <v>47221</v>
      </c>
      <c r="D14">
        <v>30</v>
      </c>
      <c r="E14" s="42">
        <v>75.599999999999994</v>
      </c>
      <c r="F14" s="42">
        <v>31</v>
      </c>
      <c r="G14" s="42">
        <v>225.4</v>
      </c>
      <c r="H14" s="42">
        <v>930</v>
      </c>
      <c r="I14" s="42">
        <f t="shared" si="0"/>
        <v>949.69179713909057</v>
      </c>
      <c r="J14">
        <v>1.25</v>
      </c>
      <c r="K14">
        <v>20</v>
      </c>
      <c r="L14" s="42">
        <f t="shared" si="1"/>
        <v>238.71863621536235</v>
      </c>
      <c r="N14" s="42">
        <f t="shared" si="2"/>
        <v>31.319166255080425</v>
      </c>
      <c r="O14" s="42">
        <f t="shared" si="3"/>
        <v>0.31916625508042529</v>
      </c>
    </row>
    <row r="15" spans="1:15" x14ac:dyDescent="0.2">
      <c r="A15">
        <v>14</v>
      </c>
      <c r="B15">
        <v>6403911100</v>
      </c>
      <c r="C15">
        <v>47229</v>
      </c>
      <c r="D15">
        <v>2</v>
      </c>
      <c r="E15" s="42">
        <v>5.04</v>
      </c>
      <c r="F15" s="42">
        <v>32.6</v>
      </c>
      <c r="G15" s="42">
        <v>237</v>
      </c>
      <c r="H15" s="42">
        <v>65.2</v>
      </c>
      <c r="I15" s="42">
        <f t="shared" si="0"/>
        <v>66.512786475939379</v>
      </c>
      <c r="J15">
        <v>1.25</v>
      </c>
      <c r="K15">
        <v>20</v>
      </c>
      <c r="L15" s="42">
        <f t="shared" si="1"/>
        <v>16.554575747690826</v>
      </c>
      <c r="N15" s="42">
        <f t="shared" si="2"/>
        <v>32.930977828101426</v>
      </c>
      <c r="O15" s="42">
        <f t="shared" si="3"/>
        <v>0.33097782810142462</v>
      </c>
    </row>
    <row r="16" spans="1:15" x14ac:dyDescent="0.2">
      <c r="A16">
        <v>15</v>
      </c>
      <c r="B16">
        <v>6403911800</v>
      </c>
      <c r="C16">
        <v>47229</v>
      </c>
      <c r="D16">
        <v>28</v>
      </c>
      <c r="E16" s="42">
        <v>70.56</v>
      </c>
      <c r="F16" s="42">
        <v>32.6</v>
      </c>
      <c r="G16" s="42">
        <v>237</v>
      </c>
      <c r="H16" s="42">
        <v>912.80000000000007</v>
      </c>
      <c r="I16" s="42">
        <f t="shared" si="0"/>
        <v>931.1790106631513</v>
      </c>
      <c r="J16">
        <v>1.25</v>
      </c>
      <c r="K16">
        <v>20</v>
      </c>
      <c r="L16" s="42">
        <f t="shared" si="1"/>
        <v>231.76406046767156</v>
      </c>
      <c r="N16" s="42">
        <f t="shared" si="2"/>
        <v>32.930977828101426</v>
      </c>
      <c r="O16" s="42">
        <f t="shared" si="3"/>
        <v>0.33097782810142462</v>
      </c>
    </row>
    <row r="17" spans="1:15" x14ac:dyDescent="0.2">
      <c r="A17">
        <v>16</v>
      </c>
      <c r="B17">
        <v>6403911600</v>
      </c>
      <c r="C17">
        <v>47230</v>
      </c>
      <c r="D17">
        <v>100</v>
      </c>
      <c r="E17" s="42">
        <v>252</v>
      </c>
      <c r="F17" s="42">
        <v>32.6</v>
      </c>
      <c r="G17" s="42">
        <v>237</v>
      </c>
      <c r="H17" s="42">
        <v>3260</v>
      </c>
      <c r="I17" s="42">
        <f t="shared" si="0"/>
        <v>3325.6393237969687</v>
      </c>
      <c r="J17">
        <v>1.25</v>
      </c>
      <c r="K17">
        <v>20</v>
      </c>
      <c r="L17" s="42">
        <f t="shared" si="1"/>
        <v>827.72878738454119</v>
      </c>
      <c r="N17" s="42">
        <f t="shared" si="2"/>
        <v>32.930977828101426</v>
      </c>
      <c r="O17" s="42">
        <f t="shared" si="3"/>
        <v>0.33097782810142462</v>
      </c>
    </row>
    <row r="18" spans="1:15" x14ac:dyDescent="0.2">
      <c r="A18">
        <v>17</v>
      </c>
      <c r="B18">
        <v>6403400000</v>
      </c>
      <c r="C18">
        <v>47235</v>
      </c>
      <c r="D18">
        <v>30</v>
      </c>
      <c r="E18" s="42">
        <v>75.599999999999994</v>
      </c>
      <c r="F18" s="42">
        <v>38.200000000000003</v>
      </c>
      <c r="G18" s="42">
        <v>277.7</v>
      </c>
      <c r="H18" s="42">
        <v>1146</v>
      </c>
      <c r="I18" s="42">
        <f t="shared" si="0"/>
        <v>1165.6917971390906</v>
      </c>
      <c r="J18">
        <v>1.25</v>
      </c>
      <c r="K18">
        <v>20</v>
      </c>
      <c r="L18" s="42">
        <f t="shared" si="1"/>
        <v>281.91863621536237</v>
      </c>
      <c r="N18" s="42">
        <f t="shared" si="2"/>
        <v>38.586213261028547</v>
      </c>
      <c r="O18" s="42">
        <f t="shared" si="3"/>
        <v>0.38621326102854425</v>
      </c>
    </row>
    <row r="19" spans="1:15" x14ac:dyDescent="0.2">
      <c r="A19">
        <v>18</v>
      </c>
      <c r="B19">
        <v>6403400000</v>
      </c>
      <c r="C19">
        <v>47236</v>
      </c>
      <c r="D19">
        <v>100</v>
      </c>
      <c r="E19" s="42">
        <v>252</v>
      </c>
      <c r="F19" s="42">
        <v>38.200000000000003</v>
      </c>
      <c r="G19" s="42">
        <v>277.7</v>
      </c>
      <c r="H19" s="42">
        <v>3820.0000000000005</v>
      </c>
      <c r="I19" s="42">
        <f t="shared" si="0"/>
        <v>3885.6393237969692</v>
      </c>
      <c r="J19">
        <v>1.25</v>
      </c>
      <c r="K19">
        <v>20</v>
      </c>
      <c r="L19" s="42">
        <f t="shared" si="1"/>
        <v>939.72878738454131</v>
      </c>
      <c r="N19" s="42">
        <f t="shared" si="2"/>
        <v>38.586213261028547</v>
      </c>
      <c r="O19" s="42">
        <f t="shared" si="3"/>
        <v>0.38621326102854425</v>
      </c>
    </row>
    <row r="20" spans="1:15" x14ac:dyDescent="0.2">
      <c r="A20">
        <v>19</v>
      </c>
      <c r="B20">
        <v>6403400000</v>
      </c>
      <c r="C20">
        <v>47237</v>
      </c>
      <c r="D20">
        <v>100</v>
      </c>
      <c r="E20" s="42">
        <v>252</v>
      </c>
      <c r="F20" s="42">
        <v>31</v>
      </c>
      <c r="G20" s="42">
        <v>225.4</v>
      </c>
      <c r="H20" s="42">
        <v>3100</v>
      </c>
      <c r="I20" s="42">
        <f t="shared" si="0"/>
        <v>3165.6393237969687</v>
      </c>
      <c r="J20">
        <v>1.25</v>
      </c>
      <c r="K20">
        <v>20</v>
      </c>
      <c r="L20" s="42">
        <f t="shared" si="1"/>
        <v>795.72878738454119</v>
      </c>
      <c r="N20" s="42">
        <f t="shared" si="2"/>
        <v>31.319166255080425</v>
      </c>
      <c r="O20" s="42">
        <f t="shared" si="3"/>
        <v>0.31916625508042529</v>
      </c>
    </row>
    <row r="21" spans="1:15" x14ac:dyDescent="0.2">
      <c r="A21">
        <v>20</v>
      </c>
      <c r="B21">
        <v>6403400000</v>
      </c>
      <c r="C21">
        <v>47238</v>
      </c>
      <c r="D21">
        <v>30</v>
      </c>
      <c r="E21" s="42">
        <v>75.599999999999994</v>
      </c>
      <c r="F21" s="42">
        <v>31</v>
      </c>
      <c r="G21" s="42">
        <v>225.4</v>
      </c>
      <c r="H21" s="42">
        <v>930</v>
      </c>
      <c r="I21" s="42">
        <f t="shared" si="0"/>
        <v>949.69179713909057</v>
      </c>
      <c r="J21">
        <v>1.25</v>
      </c>
      <c r="K21">
        <v>20</v>
      </c>
      <c r="L21" s="42">
        <f t="shared" si="1"/>
        <v>238.71863621536235</v>
      </c>
      <c r="N21" s="42">
        <f t="shared" si="2"/>
        <v>31.319166255080425</v>
      </c>
      <c r="O21" s="42">
        <f t="shared" si="3"/>
        <v>0.31916625508042529</v>
      </c>
    </row>
    <row r="22" spans="1:15" x14ac:dyDescent="0.2">
      <c r="A22">
        <v>21</v>
      </c>
      <c r="B22">
        <v>6403400000</v>
      </c>
      <c r="C22">
        <v>47239</v>
      </c>
      <c r="D22">
        <v>100</v>
      </c>
      <c r="E22" s="42">
        <v>252</v>
      </c>
      <c r="F22" s="42">
        <v>31</v>
      </c>
      <c r="G22" s="42">
        <v>225.4</v>
      </c>
      <c r="H22" s="42">
        <v>3100</v>
      </c>
      <c r="I22" s="42">
        <f t="shared" si="0"/>
        <v>3165.6393237969687</v>
      </c>
      <c r="J22">
        <v>1.25</v>
      </c>
      <c r="K22">
        <v>20</v>
      </c>
      <c r="L22" s="42">
        <f t="shared" si="1"/>
        <v>795.72878738454119</v>
      </c>
      <c r="N22" s="42">
        <f t="shared" si="2"/>
        <v>31.319166255080425</v>
      </c>
      <c r="O22" s="42">
        <f t="shared" si="3"/>
        <v>0.31916625508042529</v>
      </c>
    </row>
    <row r="23" spans="1:15" x14ac:dyDescent="0.2">
      <c r="A23">
        <v>22</v>
      </c>
      <c r="B23">
        <v>6403400000</v>
      </c>
      <c r="C23">
        <v>47240</v>
      </c>
      <c r="D23">
        <v>30</v>
      </c>
      <c r="E23" s="42">
        <v>75.599999999999994</v>
      </c>
      <c r="F23" s="42">
        <v>32.6</v>
      </c>
      <c r="G23" s="42">
        <v>237</v>
      </c>
      <c r="H23" s="42">
        <v>978</v>
      </c>
      <c r="I23" s="42">
        <f t="shared" si="0"/>
        <v>997.69179713909057</v>
      </c>
      <c r="J23">
        <v>1.25</v>
      </c>
      <c r="K23">
        <v>20</v>
      </c>
      <c r="L23" s="42">
        <f t="shared" si="1"/>
        <v>248.31863621536237</v>
      </c>
      <c r="N23" s="42">
        <f t="shared" si="2"/>
        <v>32.930977828101426</v>
      </c>
      <c r="O23" s="42">
        <f t="shared" si="3"/>
        <v>0.33097782810142462</v>
      </c>
    </row>
    <row r="24" spans="1:15" x14ac:dyDescent="0.2">
      <c r="A24">
        <v>23</v>
      </c>
      <c r="B24">
        <v>6403400000</v>
      </c>
      <c r="C24">
        <v>47241</v>
      </c>
      <c r="D24">
        <v>100</v>
      </c>
      <c r="E24" s="42">
        <v>252</v>
      </c>
      <c r="F24" s="42">
        <v>32.6</v>
      </c>
      <c r="G24" s="42">
        <v>237</v>
      </c>
      <c r="H24" s="42">
        <v>3260</v>
      </c>
      <c r="I24" s="42">
        <f t="shared" si="0"/>
        <v>3325.6393237969687</v>
      </c>
      <c r="J24">
        <v>1.25</v>
      </c>
      <c r="K24">
        <v>20</v>
      </c>
      <c r="L24" s="42">
        <f t="shared" si="1"/>
        <v>827.72878738454119</v>
      </c>
      <c r="N24" s="42">
        <f t="shared" si="2"/>
        <v>32.930977828101426</v>
      </c>
      <c r="O24" s="42">
        <f t="shared" si="3"/>
        <v>0.33097782810142462</v>
      </c>
    </row>
    <row r="25" spans="1:15" x14ac:dyDescent="0.2">
      <c r="A25">
        <v>24</v>
      </c>
      <c r="B25">
        <v>6403400000</v>
      </c>
      <c r="C25">
        <v>47244</v>
      </c>
      <c r="D25">
        <v>30</v>
      </c>
      <c r="E25" s="42">
        <v>75.599999999999994</v>
      </c>
      <c r="F25" s="42">
        <v>38.200000000000003</v>
      </c>
      <c r="G25" s="42">
        <v>277.7</v>
      </c>
      <c r="H25" s="42">
        <v>1146</v>
      </c>
      <c r="I25" s="42">
        <f t="shared" si="0"/>
        <v>1165.6917971390906</v>
      </c>
      <c r="J25">
        <v>1.25</v>
      </c>
      <c r="K25">
        <v>20</v>
      </c>
      <c r="L25" s="42">
        <f t="shared" si="1"/>
        <v>281.91863621536237</v>
      </c>
      <c r="N25" s="42">
        <f t="shared" si="2"/>
        <v>38.586213261028547</v>
      </c>
      <c r="O25" s="42">
        <f t="shared" si="3"/>
        <v>0.38621326102854425</v>
      </c>
    </row>
    <row r="26" spans="1:15" x14ac:dyDescent="0.2">
      <c r="A26">
        <v>25</v>
      </c>
      <c r="B26">
        <v>6403400000</v>
      </c>
      <c r="C26">
        <v>47245</v>
      </c>
      <c r="D26">
        <v>100</v>
      </c>
      <c r="E26" s="42">
        <v>252</v>
      </c>
      <c r="F26" s="42">
        <v>38.200000000000003</v>
      </c>
      <c r="G26" s="42">
        <v>277.7</v>
      </c>
      <c r="H26" s="42">
        <v>3820.0000000000005</v>
      </c>
      <c r="I26" s="42">
        <f t="shared" si="0"/>
        <v>3885.6393237969692</v>
      </c>
      <c r="J26">
        <v>1.25</v>
      </c>
      <c r="K26">
        <v>20</v>
      </c>
      <c r="L26" s="42">
        <f t="shared" si="1"/>
        <v>939.72878738454131</v>
      </c>
      <c r="N26" s="42">
        <f t="shared" si="2"/>
        <v>38.586213261028547</v>
      </c>
      <c r="O26" s="42">
        <f t="shared" si="3"/>
        <v>0.38621326102854425</v>
      </c>
    </row>
    <row r="27" spans="1:15" x14ac:dyDescent="0.2">
      <c r="A27">
        <v>26</v>
      </c>
      <c r="B27">
        <v>6403400000</v>
      </c>
      <c r="C27">
        <v>47246</v>
      </c>
      <c r="D27">
        <v>20</v>
      </c>
      <c r="E27" s="42">
        <v>50.4</v>
      </c>
      <c r="F27" s="42">
        <v>42.2</v>
      </c>
      <c r="G27" s="42">
        <v>306.8</v>
      </c>
      <c r="H27" s="42">
        <v>844</v>
      </c>
      <c r="I27" s="42">
        <f t="shared" si="0"/>
        <v>857.12786475939379</v>
      </c>
      <c r="J27">
        <v>1.25</v>
      </c>
      <c r="K27">
        <v>20</v>
      </c>
      <c r="L27" s="42">
        <f t="shared" si="1"/>
        <v>203.94575747690826</v>
      </c>
      <c r="N27" s="42">
        <f t="shared" si="2"/>
        <v>42.629637120934674</v>
      </c>
      <c r="O27" s="42">
        <f t="shared" si="3"/>
        <v>0.42963712093467166</v>
      </c>
    </row>
    <row r="28" spans="1:15" x14ac:dyDescent="0.2">
      <c r="A28">
        <v>27</v>
      </c>
      <c r="B28">
        <v>6403400000</v>
      </c>
      <c r="C28">
        <v>47247</v>
      </c>
      <c r="D28">
        <v>50</v>
      </c>
      <c r="E28" s="42">
        <v>126</v>
      </c>
      <c r="F28" s="42">
        <v>42.2</v>
      </c>
      <c r="G28" s="42">
        <v>306.8</v>
      </c>
      <c r="H28" s="42">
        <v>2110</v>
      </c>
      <c r="I28" s="42">
        <f t="shared" si="0"/>
        <v>2142.8196618984839</v>
      </c>
      <c r="J28">
        <v>1.25</v>
      </c>
      <c r="K28">
        <v>20</v>
      </c>
      <c r="L28" s="42">
        <f t="shared" si="1"/>
        <v>509.86439369227048</v>
      </c>
      <c r="N28" s="42">
        <f t="shared" si="2"/>
        <v>42.629637120934674</v>
      </c>
      <c r="O28" s="42">
        <f t="shared" si="3"/>
        <v>0.42963712093467166</v>
      </c>
    </row>
    <row r="29" spans="1:15" x14ac:dyDescent="0.2">
      <c r="A29">
        <v>28</v>
      </c>
      <c r="B29">
        <v>6403400000</v>
      </c>
      <c r="C29">
        <v>47248</v>
      </c>
      <c r="D29">
        <v>20</v>
      </c>
      <c r="E29" s="42">
        <v>50.4</v>
      </c>
      <c r="F29" s="42">
        <v>39</v>
      </c>
      <c r="G29" s="42">
        <v>283.5</v>
      </c>
      <c r="H29" s="42">
        <v>780</v>
      </c>
      <c r="I29" s="42">
        <f t="shared" si="0"/>
        <v>793.12786475939379</v>
      </c>
      <c r="J29">
        <v>1.25</v>
      </c>
      <c r="K29">
        <v>20</v>
      </c>
      <c r="L29" s="42">
        <f t="shared" si="1"/>
        <v>191.14575747690827</v>
      </c>
      <c r="N29" s="42">
        <f t="shared" si="2"/>
        <v>39.392119047539047</v>
      </c>
      <c r="O29" s="42">
        <f t="shared" si="3"/>
        <v>0.39211904753904747</v>
      </c>
    </row>
    <row r="30" spans="1:15" x14ac:dyDescent="0.2">
      <c r="A30">
        <v>29</v>
      </c>
      <c r="B30">
        <v>6403400000</v>
      </c>
      <c r="C30">
        <v>47249</v>
      </c>
      <c r="D30">
        <v>50</v>
      </c>
      <c r="E30" s="42">
        <v>126</v>
      </c>
      <c r="F30" s="42">
        <v>39</v>
      </c>
      <c r="G30" s="42">
        <v>283.5</v>
      </c>
      <c r="H30" s="42">
        <v>1950</v>
      </c>
      <c r="I30" s="42">
        <f t="shared" si="0"/>
        <v>1982.8196618984844</v>
      </c>
      <c r="J30">
        <v>1.25</v>
      </c>
      <c r="K30">
        <v>20</v>
      </c>
      <c r="L30" s="42">
        <f t="shared" si="1"/>
        <v>477.8643936922706</v>
      </c>
      <c r="N30" s="42">
        <f t="shared" si="2"/>
        <v>39.392119047539047</v>
      </c>
      <c r="O30" s="42">
        <f t="shared" si="3"/>
        <v>0.39211904753904747</v>
      </c>
    </row>
    <row r="31" spans="1:15" x14ac:dyDescent="0.2">
      <c r="A31">
        <v>30</v>
      </c>
      <c r="B31">
        <v>6403400000</v>
      </c>
      <c r="C31">
        <v>47250</v>
      </c>
      <c r="D31">
        <v>20</v>
      </c>
      <c r="E31" s="42">
        <v>50.4</v>
      </c>
      <c r="F31" s="42">
        <v>40.6</v>
      </c>
      <c r="G31" s="42">
        <v>295.2</v>
      </c>
      <c r="H31" s="42">
        <v>812</v>
      </c>
      <c r="I31" s="42">
        <f t="shared" si="0"/>
        <v>825.12786475939379</v>
      </c>
      <c r="J31">
        <v>1.25</v>
      </c>
      <c r="K31">
        <v>20</v>
      </c>
      <c r="L31" s="42">
        <f t="shared" si="1"/>
        <v>197.54575747690825</v>
      </c>
      <c r="N31" s="42">
        <f t="shared" si="2"/>
        <v>41.017825547913667</v>
      </c>
      <c r="O31" s="42">
        <f t="shared" si="3"/>
        <v>0.41782554791366522</v>
      </c>
    </row>
    <row r="32" spans="1:15" x14ac:dyDescent="0.2">
      <c r="A32">
        <v>31</v>
      </c>
      <c r="B32">
        <v>6403400000</v>
      </c>
      <c r="C32">
        <v>47251</v>
      </c>
      <c r="D32">
        <v>50</v>
      </c>
      <c r="E32" s="42">
        <v>126</v>
      </c>
      <c r="F32" s="42">
        <v>40.6</v>
      </c>
      <c r="G32" s="42">
        <v>295.2</v>
      </c>
      <c r="H32" s="42">
        <v>2030</v>
      </c>
      <c r="I32" s="42">
        <f t="shared" si="0"/>
        <v>2062.8196618984844</v>
      </c>
      <c r="J32">
        <v>1.25</v>
      </c>
      <c r="K32">
        <v>20</v>
      </c>
      <c r="L32" s="42">
        <f t="shared" si="1"/>
        <v>493.8643936922706</v>
      </c>
      <c r="N32" s="42">
        <f t="shared" si="2"/>
        <v>41.017825547913667</v>
      </c>
      <c r="O32" s="42">
        <f t="shared" si="3"/>
        <v>0.41782554791366522</v>
      </c>
    </row>
    <row r="33" spans="1:15" x14ac:dyDescent="0.2">
      <c r="A33">
        <v>32</v>
      </c>
      <c r="B33">
        <v>6403400000</v>
      </c>
      <c r="C33">
        <v>47252</v>
      </c>
      <c r="D33">
        <v>20</v>
      </c>
      <c r="E33" s="42">
        <v>50.4</v>
      </c>
      <c r="F33" s="42">
        <v>47.8</v>
      </c>
      <c r="G33" s="42">
        <v>347.5</v>
      </c>
      <c r="H33" s="42">
        <v>956</v>
      </c>
      <c r="I33" s="42">
        <f t="shared" si="0"/>
        <v>969.12786475939379</v>
      </c>
      <c r="J33">
        <v>1.25</v>
      </c>
      <c r="K33">
        <v>20</v>
      </c>
      <c r="L33" s="42">
        <f t="shared" si="1"/>
        <v>226.34575747690826</v>
      </c>
      <c r="N33" s="42">
        <f t="shared" si="2"/>
        <v>48.284872553861796</v>
      </c>
      <c r="O33" s="42">
        <f t="shared" si="3"/>
        <v>0.48487255386179839</v>
      </c>
    </row>
    <row r="34" spans="1:15" x14ac:dyDescent="0.2">
      <c r="A34">
        <v>33</v>
      </c>
      <c r="B34">
        <v>6403400000</v>
      </c>
      <c r="C34">
        <v>47253</v>
      </c>
      <c r="D34">
        <v>50</v>
      </c>
      <c r="E34" s="42">
        <v>126</v>
      </c>
      <c r="F34" s="42">
        <v>47.8</v>
      </c>
      <c r="G34" s="42">
        <v>347.5</v>
      </c>
      <c r="H34" s="42">
        <v>2390</v>
      </c>
      <c r="I34" s="42">
        <f t="shared" si="0"/>
        <v>2422.8196618984839</v>
      </c>
      <c r="J34">
        <v>1.25</v>
      </c>
      <c r="K34">
        <v>20</v>
      </c>
      <c r="L34" s="42">
        <f t="shared" si="1"/>
        <v>565.86439369227048</v>
      </c>
      <c r="N34" s="42">
        <f t="shared" si="2"/>
        <v>48.284872553861796</v>
      </c>
      <c r="O34" s="42">
        <f t="shared" si="3"/>
        <v>0.48487255386179839</v>
      </c>
    </row>
    <row r="36" spans="1:15" x14ac:dyDescent="0.2">
      <c r="D36" s="43">
        <f>SUM(D2:D35)</f>
        <v>1830</v>
      </c>
      <c r="E36" s="42">
        <f>SUM(E2:E35)</f>
        <v>4611.5999999999985</v>
      </c>
      <c r="H36" s="42">
        <f>SUM(H2:H35)</f>
        <v>66362</v>
      </c>
      <c r="I36" s="42">
        <f>SUM(I2:I35)</f>
        <v>67563.199625484544</v>
      </c>
      <c r="L36" s="42">
        <f>SUM(L2:L35)+I38/D39</f>
        <v>16712.229318827587</v>
      </c>
    </row>
    <row r="37" spans="1:15" x14ac:dyDescent="0.2">
      <c r="E37" s="42"/>
      <c r="H37" t="s">
        <v>51</v>
      </c>
      <c r="I37" s="42">
        <f>I36*D39</f>
        <v>6032630.2624000022</v>
      </c>
      <c r="L37" s="43">
        <f>L36*D39</f>
        <v>1492213.2299800008</v>
      </c>
    </row>
    <row r="38" spans="1:15" x14ac:dyDescent="0.2">
      <c r="B38" t="s">
        <v>48</v>
      </c>
      <c r="C38" t="s">
        <v>45</v>
      </c>
      <c r="D38" t="s">
        <v>44</v>
      </c>
      <c r="E38" t="s">
        <v>49</v>
      </c>
      <c r="H38" t="s">
        <v>52</v>
      </c>
      <c r="I38">
        <v>20000</v>
      </c>
    </row>
    <row r="39" spans="1:15" x14ac:dyDescent="0.2">
      <c r="B39" s="40">
        <v>45322</v>
      </c>
      <c r="C39" s="41">
        <v>12.406599999999999</v>
      </c>
      <c r="D39" s="41">
        <v>89.288700000000006</v>
      </c>
      <c r="E39" s="41">
        <v>96.789500000000004</v>
      </c>
    </row>
    <row r="40" spans="1:15" x14ac:dyDescent="0.2">
      <c r="I40" s="42">
        <f>I36-H36</f>
        <v>1201.1996254845435</v>
      </c>
    </row>
    <row r="41" spans="1:15" x14ac:dyDescent="0.2">
      <c r="E41">
        <f>E39/D39</f>
        <v>1.0840061508343162</v>
      </c>
      <c r="I41" s="42">
        <f>I40-C43</f>
        <v>11.199625484543503</v>
      </c>
    </row>
    <row r="42" spans="1:15" x14ac:dyDescent="0.2">
      <c r="B42" t="s">
        <v>53</v>
      </c>
      <c r="C42">
        <v>1000</v>
      </c>
      <c r="D42" t="s">
        <v>55</v>
      </c>
      <c r="E42">
        <f>C42/E36</f>
        <v>0.21684447913956117</v>
      </c>
      <c r="I42">
        <f>I41*D39</f>
        <v>1000.0000000017595</v>
      </c>
    </row>
    <row r="43" spans="1:15" x14ac:dyDescent="0.2">
      <c r="B43" t="s">
        <v>54</v>
      </c>
      <c r="C43">
        <v>1190</v>
      </c>
      <c r="D43" t="s">
        <v>44</v>
      </c>
      <c r="E43">
        <f>C43/E36</f>
        <v>0.25804493017607782</v>
      </c>
    </row>
  </sheetData>
  <sortState xmlns:xlrd2="http://schemas.microsoft.com/office/spreadsheetml/2017/richdata2" ref="A2:I34">
    <sortCondition ref="A2:A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1</vt:i4>
      </vt:variant>
    </vt:vector>
  </HeadingPairs>
  <TitlesOfParts>
    <vt:vector size="5" baseType="lpstr">
      <vt:lpstr>Page 1</vt:lpstr>
      <vt:lpstr>Page 2</vt:lpstr>
      <vt:lpstr>Page 3</vt:lpstr>
      <vt:lpstr>Лист1</vt:lpstr>
      <vt:lpstr>'Page 1'!Область_печати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Vint</dc:creator>
  <cp:lastModifiedBy>RDZharinovK</cp:lastModifiedBy>
  <cp:lastPrinted>2022-05-23T09:24:51Z</cp:lastPrinted>
  <dcterms:created xsi:type="dcterms:W3CDTF">1999-06-15T14:57:42Z</dcterms:created>
  <dcterms:modified xsi:type="dcterms:W3CDTF">2026-03-17T09:47:09Z</dcterms:modified>
</cp:coreProperties>
</file>