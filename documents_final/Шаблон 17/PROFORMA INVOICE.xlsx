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X:\ТАМОЖНЯ\документы прямые\ВИТОРИЯ\17583 GAOMI YATAN\Декларанту\"/>
    </mc:Choice>
  </mc:AlternateContent>
  <bookViews>
    <workbookView xWindow="0" yWindow="0" windowWidth="28800" windowHeight="11865"/>
  </bookViews>
  <sheets>
    <sheet name="Sheet1" sheetId="1" r:id="rId1"/>
  </sheets>
  <calcPr calcId="162913"/>
</workbook>
</file>

<file path=xl/calcChain.xml><?xml version="1.0" encoding="utf-8"?>
<calcChain xmlns="http://schemas.openxmlformats.org/spreadsheetml/2006/main">
  <c r="E16" i="1" l="1"/>
  <c r="C16" i="1"/>
  <c r="E12" i="1"/>
  <c r="E11" i="1"/>
  <c r="E10" i="1"/>
  <c r="E9" i="1"/>
</calcChain>
</file>

<file path=xl/sharedStrings.xml><?xml version="1.0" encoding="utf-8"?>
<sst xmlns="http://schemas.openxmlformats.org/spreadsheetml/2006/main" count="32" uniqueCount="30">
  <si>
    <t>高密市美登鞋业有限公司</t>
  </si>
  <si>
    <t>GAOMI MODERN SHOES CO.,LTD.</t>
  </si>
  <si>
    <t>Proforma Invoice</t>
  </si>
  <si>
    <t>NO:MD250915</t>
  </si>
  <si>
    <t>This Sales Contract is made by and between the Sellers and the Buyers whereby the Sellers agree to sell and the Buyers agree to buy the under-mentioned goods according to the terms and conditions stipulated below:</t>
  </si>
  <si>
    <t>Article</t>
  </si>
  <si>
    <t>Specifications</t>
  </si>
  <si>
    <t>Quantity</t>
  </si>
  <si>
    <t>Total</t>
  </si>
  <si>
    <t>BLACK FULL GRAIN PU LINING</t>
  </si>
  <si>
    <t>BLACK FULL GRAIN WITHOUT LINING</t>
  </si>
  <si>
    <r>
      <rPr>
        <sz val="11"/>
        <color theme="1"/>
        <rFont val="Arial"/>
        <charset val="134"/>
      </rPr>
      <t>Remark</t>
    </r>
    <r>
      <rPr>
        <sz val="11"/>
        <color theme="1"/>
        <rFont val="宋体"/>
        <charset val="134"/>
      </rPr>
      <t>：</t>
    </r>
    <r>
      <rPr>
        <sz val="11"/>
        <color theme="1"/>
        <rFont val="Arial"/>
        <charset val="134"/>
      </rPr>
      <t xml:space="preserve">THE USEFUL OF THE PRODUCTION IS 6 MONTHS,PLS DON'T DISCART THE PRODUCTION </t>
    </r>
  </si>
  <si>
    <t>FOR PROTECTING THE ENVIROMNET,PLS RECYCLE PROPERLY .THANKS!</t>
  </si>
  <si>
    <t>1.With 5% more or less both in amount and quantity allowed at the seller’s option.</t>
  </si>
  <si>
    <t>2. Shipping mark:  to be designated by the buyers</t>
  </si>
  <si>
    <t>3.Insurance: To be covered by the buyer.</t>
  </si>
  <si>
    <t>6. Shipdate:30TH,JAN.2026</t>
  </si>
  <si>
    <t>8.Commodity Inspection: It is mutually agreed that the certificate of Quality issued by the sellers. The     buyers should confirm and sign the materials in seller’s factory, and the buyers should give the firm standard of quality, the confirmation sample is only for the reference, not for the standard of production by the buyers. and the buyer’s Q/C should control the quality from the beginning to the end in the sellers factory. if the buyers has no Q/C control in the sellers factory during shoes produced. and the sellers does not accept any claim in buyer’s final inspection. the buyers has no right to reject the shoes and payment.</t>
  </si>
  <si>
    <t>9.The production are mens and womens shoes and boots</t>
  </si>
  <si>
    <r>
      <t xml:space="preserve"> Beneficiary Bank</t>
    </r>
    <r>
      <rPr>
        <b/>
        <sz val="10.5"/>
        <color theme="1"/>
        <rFont val="宋体"/>
        <charset val="134"/>
      </rPr>
      <t>（收款行）</t>
    </r>
    <r>
      <rPr>
        <b/>
        <sz val="10.5"/>
        <color theme="1"/>
        <rFont val="Arial"/>
        <charset val="134"/>
      </rPr>
      <t>: 
JINAN RURAL COMMERCIAL BANK CO., LTD                                                                               BLD5,8,9, GAOTIE GOLDEN PLAZA,NO.3799 TANGYE EAST ROAD,LICHENG DISTRICT,JINAN,SHANDONG,CHINA
SWIFT BIC: RFBKCNBJ                                                                                                                      Intermediary Bank</t>
    </r>
    <r>
      <rPr>
        <b/>
        <sz val="10.5"/>
        <color theme="1"/>
        <rFont val="宋体"/>
        <charset val="134"/>
      </rPr>
      <t>（中间行）</t>
    </r>
    <r>
      <rPr>
        <b/>
        <sz val="10.5"/>
        <color theme="1"/>
        <rFont val="Arial"/>
        <charset val="134"/>
      </rPr>
      <t>: 
SWIFT BIC: BKCHCNBJ500 
BANK OF CHINA LIMITED,(SHANDONG BRANCH)                                                                             Bene’s Account No.:  9070107500142050028196   
Bene’s Name: GAOMI  MODERN  SHOES  CO.,LTD      
Bene’s Address:    NO.1 MIDDLE OF ZHOUYANG ROAD MISHI SUB-DISTRICT  OFFICE  GAOMI  SHANDONG  CHINA</t>
    </r>
  </si>
  <si>
    <t>TE SELLER</t>
  </si>
  <si>
    <t>THE BUYER</t>
  </si>
  <si>
    <t xml:space="preserve">GAOMI MODERN SHOES CO., LTD </t>
  </si>
  <si>
    <r>
      <t>DATE</t>
    </r>
    <r>
      <rPr>
        <sz val="11"/>
        <color theme="1"/>
        <rFont val="宋体"/>
        <charset val="134"/>
      </rPr>
      <t>：</t>
    </r>
    <r>
      <rPr>
        <sz val="11"/>
        <color theme="1"/>
        <rFont val="Arial"/>
        <charset val="134"/>
      </rPr>
      <t>2026.1.16</t>
    </r>
  </si>
  <si>
    <r>
      <t>5.port of Destination:</t>
    </r>
    <r>
      <rPr>
        <b/>
        <sz val="10.5"/>
        <color rgb="FF0000FF"/>
        <rFont val="Arial"/>
        <charset val="134"/>
      </rPr>
      <t xml:space="preserve"> </t>
    </r>
    <r>
      <rPr>
        <b/>
        <sz val="10.5"/>
        <color theme="1"/>
        <rFont val="Arial"/>
        <family val="2"/>
        <charset val="204"/>
      </rPr>
      <t>Russian</t>
    </r>
  </si>
  <si>
    <t xml:space="preserve">7.Terms of Payment:100% </t>
  </si>
  <si>
    <t>Vitoria</t>
  </si>
  <si>
    <t>4.Port of shipment: FROM: EX WORKS GAOMI, SHANDONG</t>
  </si>
  <si>
    <t>Unit price       (EXW GAOMI)</t>
  </si>
  <si>
    <t>NO.1,MIDDLE OF ZHOUYANG ROAD, MISHUI DISTRICT,GAOMI SHANDONG,CHINA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</si>
</sst>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quot;￥&quot;\-#,##0.00"/>
    <numFmt numFmtId="165" formatCode="\$#,##0.00;\-\$#,##0.00"/>
  </numFmts>
  <fonts count="13">
    <font>
      <sz val="11"/>
      <color theme="1"/>
      <name val="Calibri"/>
      <charset val="134"/>
      <scheme val="minor"/>
    </font>
    <font>
      <b/>
      <sz val="24"/>
      <color theme="1"/>
      <name val="Calibri"/>
      <charset val="134"/>
      <scheme val="minor"/>
    </font>
    <font>
      <sz val="11"/>
      <color theme="1"/>
      <name val="Arial"/>
      <charset val="134"/>
    </font>
    <font>
      <sz val="22"/>
      <color theme="1"/>
      <name val="Arial"/>
      <charset val="134"/>
    </font>
    <font>
      <b/>
      <sz val="11"/>
      <color theme="1"/>
      <name val="Arial"/>
      <charset val="134"/>
    </font>
    <font>
      <b/>
      <sz val="10.5"/>
      <color theme="1"/>
      <name val="Arial"/>
      <charset val="134"/>
    </font>
    <font>
      <b/>
      <sz val="10.5"/>
      <color rgb="FF000000"/>
      <name val="Arial"/>
      <charset val="134"/>
    </font>
    <font>
      <b/>
      <sz val="12"/>
      <color theme="1"/>
      <name val="Arial"/>
      <charset val="134"/>
    </font>
    <font>
      <sz val="11"/>
      <color theme="1"/>
      <name val="宋体"/>
      <charset val="134"/>
    </font>
    <font>
      <b/>
      <sz val="10.5"/>
      <color rgb="FF0000FF"/>
      <name val="Arial"/>
      <charset val="134"/>
    </font>
    <font>
      <b/>
      <sz val="10.5"/>
      <color theme="1"/>
      <name val="宋体"/>
      <charset val="134"/>
    </font>
    <font>
      <sz val="11"/>
      <color theme="1"/>
      <name val="Arial"/>
      <family val="2"/>
      <charset val="204"/>
    </font>
    <font>
      <b/>
      <sz val="10.5"/>
      <color theme="1"/>
      <name val="Arial"/>
      <family val="2"/>
      <charset val="20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8">
    <xf numFmtId="0" fontId="0" fillId="0" borderId="0" xfId="0">
      <alignment vertical="center"/>
    </xf>
    <xf numFmtId="165" fontId="0" fillId="0" borderId="0" xfId="0" applyNumberFormat="1">
      <alignment vertical="center"/>
    </xf>
    <xf numFmtId="0" fontId="2" fillId="0" borderId="0" xfId="0" applyFont="1" applyAlignment="1">
      <alignment horizontal="center" vertical="center"/>
    </xf>
    <xf numFmtId="0" fontId="2" fillId="0" borderId="0" xfId="0" applyFont="1" applyAlignment="1">
      <alignment horizontal="left" vertical="center"/>
    </xf>
    <xf numFmtId="165"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2" fillId="0" borderId="0" xfId="0" applyNumberFormat="1" applyFont="1" applyAlignment="1">
      <alignment horizontal="center" vertical="center"/>
    </xf>
    <xf numFmtId="0" fontId="2" fillId="0" borderId="0" xfId="0" applyFont="1">
      <alignment vertical="center"/>
    </xf>
    <xf numFmtId="0" fontId="4" fillId="0" borderId="0" xfId="0" applyFont="1" applyAlignment="1">
      <alignment horizontal="center" vertical="center"/>
    </xf>
    <xf numFmtId="164" fontId="4" fillId="0" borderId="0" xfId="0" applyNumberFormat="1" applyFont="1">
      <alignment vertical="center"/>
    </xf>
    <xf numFmtId="164" fontId="4" fillId="0" borderId="0" xfId="0" applyNumberFormat="1" applyFont="1" applyAlignment="1">
      <alignment horizontal="left" vertical="center"/>
    </xf>
    <xf numFmtId="165" fontId="4" fillId="0" borderId="0" xfId="0" applyNumberFormat="1" applyFont="1">
      <alignment vertical="center"/>
    </xf>
    <xf numFmtId="165" fontId="4" fillId="0" borderId="0" xfId="0" applyNumberFormat="1" applyFont="1" applyAlignment="1">
      <alignment horizontal="left" vertical="center"/>
    </xf>
    <xf numFmtId="9" fontId="2" fillId="0" borderId="0" xfId="0" applyNumberFormat="1" applyFont="1">
      <alignment vertical="center"/>
    </xf>
    <xf numFmtId="165" fontId="2" fillId="0" borderId="0" xfId="0" applyNumberFormat="1" applyFont="1">
      <alignment vertical="center"/>
    </xf>
    <xf numFmtId="9" fontId="0" fillId="0" borderId="0" xfId="0" applyNumberFormat="1">
      <alignment vertical="center"/>
    </xf>
    <xf numFmtId="0" fontId="4" fillId="0" borderId="0" xfId="0" applyFont="1">
      <alignment vertical="center"/>
    </xf>
    <xf numFmtId="0" fontId="7" fillId="0" borderId="0" xfId="0" applyFont="1">
      <alignment vertical="center"/>
    </xf>
    <xf numFmtId="165" fontId="11" fillId="0" borderId="0" xfId="0" applyNumberFormat="1" applyFont="1" applyAlignment="1">
      <alignment horizontal="center" vertical="center" wrapText="1"/>
    </xf>
    <xf numFmtId="0" fontId="6" fillId="0" borderId="0" xfId="0" applyFont="1" applyAlignment="1">
      <alignment vertical="top" wrapText="1"/>
    </xf>
    <xf numFmtId="0" fontId="5" fillId="0" borderId="0" xfId="0" applyFont="1" applyAlignment="1">
      <alignment vertical="top" wrapText="1"/>
    </xf>
    <xf numFmtId="0" fontId="12"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wrapText="1"/>
    </xf>
  </cellXfs>
  <cellStyles count="1">
    <cellStyle name="Обычный" xfId="0" builtinId="0"/>
  </cellStyles>
  <dxfs count="0"/>
  <tableStyles count="0"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DC143C"/>
      <rgbColor rgb="00993366"/>
      <rgbColor rgb="00FFDAB9"/>
      <rgbColor rgb="00CCFFFF"/>
      <rgbColor rgb="00EAE5D8"/>
      <rgbColor rgb="00FFEFD5"/>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5</xdr:col>
      <xdr:colOff>95250</xdr:colOff>
      <xdr:row>10</xdr:row>
      <xdr:rowOff>168275</xdr:rowOff>
    </xdr:from>
    <xdr:to>
      <xdr:col>7</xdr:col>
      <xdr:colOff>165735</xdr:colOff>
      <xdr:row>10</xdr:row>
      <xdr:rowOff>1200785</xdr:rowOff>
    </xdr:to>
    <xdr:pic>
      <xdr:nvPicPr>
        <xdr:cNvPr id="6" name="Picture 4" descr="http://www.shoes.ru/images/all/ware1/135534.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stretch>
          <a:fillRect/>
        </a:stretch>
      </xdr:blipFill>
      <xdr:spPr>
        <a:xfrm>
          <a:off x="6530340" y="5489575"/>
          <a:ext cx="1327785" cy="1032510"/>
        </a:xfrm>
        <a:prstGeom prst="rect">
          <a:avLst/>
        </a:prstGeom>
        <a:noFill/>
        <a:ln w="9525">
          <a:noFill/>
          <a:miter/>
        </a:ln>
      </xdr:spPr>
    </xdr:pic>
    <xdr:clientData/>
  </xdr:twoCellAnchor>
  <xdr:twoCellAnchor editAs="oneCell">
    <xdr:from>
      <xdr:col>5</xdr:col>
      <xdr:colOff>95250</xdr:colOff>
      <xdr:row>7</xdr:row>
      <xdr:rowOff>361950</xdr:rowOff>
    </xdr:from>
    <xdr:to>
      <xdr:col>8</xdr:col>
      <xdr:colOff>209550</xdr:colOff>
      <xdr:row>9</xdr:row>
      <xdr:rowOff>80010</xdr:rowOff>
    </xdr:to>
    <xdr:pic>
      <xdr:nvPicPr>
        <xdr:cNvPr id="7" name="Picture 2" descr="http://www.shoes.ru/images/all/ware1/135532.jp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stretch>
          <a:fillRect/>
        </a:stretch>
      </xdr:blipFill>
      <xdr:spPr>
        <a:xfrm>
          <a:off x="6530340" y="2533650"/>
          <a:ext cx="2000250" cy="1597660"/>
        </a:xfrm>
        <a:prstGeom prst="rect">
          <a:avLst/>
        </a:prstGeom>
        <a:noFill/>
        <a:ln w="9525">
          <a:noFill/>
          <a:miter/>
        </a:ln>
      </xdr:spPr>
    </xdr:pic>
    <xdr:clientData/>
  </xdr:twoCellAnchor>
  <xdr:twoCellAnchor editAs="oneCell">
    <xdr:from>
      <xdr:col>5</xdr:col>
      <xdr:colOff>47625</xdr:colOff>
      <xdr:row>11</xdr:row>
      <xdr:rowOff>45085</xdr:rowOff>
    </xdr:from>
    <xdr:to>
      <xdr:col>7</xdr:col>
      <xdr:colOff>322580</xdr:colOff>
      <xdr:row>11</xdr:row>
      <xdr:rowOff>1145540</xdr:rowOff>
    </xdr:to>
    <xdr:pic>
      <xdr:nvPicPr>
        <xdr:cNvPr id="9" name="Picture 3" descr="http://www.shoes.ru/images/all/ware1/135535.jp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a:xfrm>
          <a:off x="6482715" y="6636385"/>
          <a:ext cx="1532255" cy="1100455"/>
        </a:xfrm>
        <a:prstGeom prst="rect">
          <a:avLst/>
        </a:prstGeom>
        <a:noFill/>
        <a:ln w="9525">
          <a:noFill/>
          <a:miter lim="800000"/>
          <a:headEnd/>
          <a:tailEnd/>
        </a:ln>
      </xdr:spPr>
    </xdr:pic>
    <xdr:clientData/>
  </xdr:twoCellAnchor>
  <xdr:twoCellAnchor editAs="oneCell">
    <xdr:from>
      <xdr:col>5</xdr:col>
      <xdr:colOff>19050</xdr:colOff>
      <xdr:row>8</xdr:row>
      <xdr:rowOff>1250950</xdr:rowOff>
    </xdr:from>
    <xdr:to>
      <xdr:col>7</xdr:col>
      <xdr:colOff>508000</xdr:colOff>
      <xdr:row>10</xdr:row>
      <xdr:rowOff>89535</xdr:rowOff>
    </xdr:to>
    <xdr:pic>
      <xdr:nvPicPr>
        <xdr:cNvPr id="10" name="Picture 1" descr="http://www.shoes.ru/images/all/ware1/135533.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cstate="print"/>
        <a:stretch>
          <a:fillRect/>
        </a:stretch>
      </xdr:blipFill>
      <xdr:spPr>
        <a:xfrm>
          <a:off x="6454140" y="4032250"/>
          <a:ext cx="1746250" cy="1378585"/>
        </a:xfrm>
        <a:prstGeom prst="rect">
          <a:avLst/>
        </a:prstGeom>
        <a:noFill/>
        <a:ln w="9525">
          <a:noFill/>
          <a:miter/>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tabSelected="1" workbookViewId="0">
      <selection activeCell="H7" sqref="H7"/>
    </sheetView>
  </sheetViews>
  <sheetFormatPr defaultColWidth="9" defaultRowHeight="15"/>
  <cols>
    <col min="1" max="1" width="20.42578125" customWidth="1"/>
    <col min="2" max="2" width="33.85546875" customWidth="1"/>
    <col min="3" max="3" width="9.42578125" customWidth="1"/>
    <col min="4" max="4" width="15.5703125" style="1" customWidth="1"/>
    <col min="5" max="5" width="16" style="1" customWidth="1"/>
  </cols>
  <sheetData>
    <row r="1" spans="1:5" ht="39.950000000000003" customHeight="1">
      <c r="A1" s="24" t="s">
        <v>0</v>
      </c>
      <c r="B1" s="24"/>
      <c r="C1" s="24"/>
      <c r="D1" s="24"/>
      <c r="E1" s="24"/>
    </row>
    <row r="2" spans="1:5">
      <c r="A2" s="25" t="s">
        <v>1</v>
      </c>
      <c r="B2" s="25"/>
      <c r="C2" s="25"/>
      <c r="D2" s="25"/>
      <c r="E2" s="25"/>
    </row>
    <row r="3" spans="1:5">
      <c r="A3" s="25" t="s">
        <v>29</v>
      </c>
      <c r="B3" s="25"/>
      <c r="C3" s="25"/>
      <c r="D3" s="25"/>
      <c r="E3" s="25"/>
    </row>
    <row r="4" spans="1:5" ht="33" customHeight="1">
      <c r="A4" s="26" t="s">
        <v>2</v>
      </c>
      <c r="B4" s="26"/>
      <c r="C4" s="26"/>
      <c r="D4" s="26"/>
      <c r="E4" s="26"/>
    </row>
    <row r="5" spans="1:5">
      <c r="A5" s="2"/>
      <c r="B5" s="2"/>
      <c r="C5" s="2"/>
      <c r="D5" s="3" t="s">
        <v>3</v>
      </c>
      <c r="E5" s="2"/>
    </row>
    <row r="6" spans="1:5">
      <c r="A6" s="2"/>
      <c r="B6" s="2"/>
      <c r="C6" s="2"/>
      <c r="D6" s="3" t="s">
        <v>23</v>
      </c>
      <c r="E6" s="2"/>
    </row>
    <row r="7" spans="1:5" ht="42" customHeight="1">
      <c r="A7" s="27" t="s">
        <v>4</v>
      </c>
      <c r="B7" s="27"/>
      <c r="C7" s="27"/>
      <c r="D7" s="27"/>
      <c r="E7" s="27"/>
    </row>
    <row r="8" spans="1:5" ht="48" customHeight="1">
      <c r="A8" s="2" t="s">
        <v>5</v>
      </c>
      <c r="B8" s="2" t="s">
        <v>6</v>
      </c>
      <c r="C8" s="2" t="s">
        <v>7</v>
      </c>
      <c r="D8" s="18" t="s">
        <v>28</v>
      </c>
      <c r="E8" s="4" t="s">
        <v>8</v>
      </c>
    </row>
    <row r="9" spans="1:5" ht="99.95" customHeight="1">
      <c r="A9" s="2">
        <v>135532</v>
      </c>
      <c r="B9" s="2" t="s">
        <v>9</v>
      </c>
      <c r="C9" s="2">
        <v>300</v>
      </c>
      <c r="D9" s="5">
        <v>150</v>
      </c>
      <c r="E9" s="6">
        <f>D9*C9</f>
        <v>45000</v>
      </c>
    </row>
    <row r="10" spans="1:5" ht="99.95" customHeight="1">
      <c r="A10" s="2">
        <v>135533</v>
      </c>
      <c r="B10" s="2" t="s">
        <v>10</v>
      </c>
      <c r="C10" s="2">
        <v>300</v>
      </c>
      <c r="D10" s="5">
        <v>170</v>
      </c>
      <c r="E10" s="6">
        <f>D10*C10</f>
        <v>51000</v>
      </c>
    </row>
    <row r="11" spans="1:5" ht="99.95" customHeight="1">
      <c r="A11" s="2">
        <v>135534</v>
      </c>
      <c r="B11" s="2" t="s">
        <v>10</v>
      </c>
      <c r="C11" s="2">
        <v>300</v>
      </c>
      <c r="D11" s="5">
        <v>180</v>
      </c>
      <c r="E11" s="6">
        <f>D11*C11</f>
        <v>54000</v>
      </c>
    </row>
    <row r="12" spans="1:5" ht="99.95" customHeight="1">
      <c r="A12" s="2">
        <v>135662</v>
      </c>
      <c r="B12" s="2" t="s">
        <v>10</v>
      </c>
      <c r="C12" s="2">
        <v>300</v>
      </c>
      <c r="D12" s="5">
        <v>190</v>
      </c>
      <c r="E12" s="6">
        <f>D12*C12</f>
        <v>57000</v>
      </c>
    </row>
    <row r="13" spans="1:5" ht="14.1" customHeight="1">
      <c r="A13" s="2"/>
      <c r="B13" s="2"/>
      <c r="C13" s="2"/>
      <c r="D13" s="5"/>
      <c r="E13" s="6"/>
    </row>
    <row r="14" spans="1:5" ht="14.1" customHeight="1">
      <c r="A14" s="2"/>
      <c r="B14" s="2"/>
      <c r="C14" s="2"/>
      <c r="D14" s="5"/>
      <c r="E14" s="6"/>
    </row>
    <row r="15" spans="1:5" ht="14.1" customHeight="1">
      <c r="A15" s="2"/>
      <c r="B15" s="2"/>
      <c r="C15" s="2"/>
      <c r="D15" s="5"/>
      <c r="E15" s="6"/>
    </row>
    <row r="16" spans="1:5">
      <c r="A16" s="7"/>
      <c r="B16" s="7"/>
      <c r="C16" s="8">
        <f>SUM(C9:C15)</f>
        <v>1200</v>
      </c>
      <c r="D16" s="9"/>
      <c r="E16" s="10">
        <f>SUM(E9:E15)</f>
        <v>207000</v>
      </c>
    </row>
    <row r="17" spans="1:7">
      <c r="A17" s="7"/>
      <c r="B17" s="7"/>
      <c r="C17" s="8"/>
      <c r="D17" s="9"/>
      <c r="E17" s="10"/>
    </row>
    <row r="18" spans="1:7">
      <c r="A18" s="7"/>
      <c r="B18" s="7"/>
      <c r="C18" s="8"/>
      <c r="D18" s="9"/>
      <c r="E18" s="10"/>
    </row>
    <row r="19" spans="1:7">
      <c r="A19" s="7" t="s">
        <v>11</v>
      </c>
      <c r="B19" s="7"/>
      <c r="C19" s="8"/>
      <c r="D19" s="11"/>
      <c r="E19" s="12"/>
    </row>
    <row r="20" spans="1:7">
      <c r="A20" s="7" t="s">
        <v>12</v>
      </c>
      <c r="B20" s="7"/>
      <c r="C20" s="7"/>
      <c r="D20" s="13"/>
      <c r="E20" s="14"/>
      <c r="G20" s="15"/>
    </row>
    <row r="21" spans="1:7" ht="15" customHeight="1">
      <c r="A21" s="22" t="s">
        <v>13</v>
      </c>
      <c r="B21" s="22"/>
      <c r="C21" s="22"/>
      <c r="D21" s="22"/>
      <c r="E21" s="22"/>
    </row>
    <row r="22" spans="1:7">
      <c r="A22" s="22" t="s">
        <v>14</v>
      </c>
      <c r="B22" s="22"/>
      <c r="C22" s="22"/>
      <c r="D22" s="22"/>
      <c r="E22" s="22"/>
    </row>
    <row r="23" spans="1:7">
      <c r="A23" s="22" t="s">
        <v>15</v>
      </c>
      <c r="B23" s="22"/>
      <c r="C23" s="22"/>
      <c r="D23" s="22"/>
      <c r="E23" s="22"/>
    </row>
    <row r="24" spans="1:7">
      <c r="A24" s="22" t="s">
        <v>27</v>
      </c>
      <c r="B24" s="22"/>
      <c r="C24" s="22"/>
      <c r="D24" s="22"/>
      <c r="E24" s="22"/>
    </row>
    <row r="25" spans="1:7">
      <c r="A25" s="21" t="s">
        <v>24</v>
      </c>
      <c r="B25" s="22"/>
      <c r="C25" s="22"/>
      <c r="D25" s="22"/>
      <c r="E25" s="22"/>
    </row>
    <row r="26" spans="1:7" ht="15" customHeight="1">
      <c r="A26" s="19" t="s">
        <v>16</v>
      </c>
      <c r="B26" s="20"/>
      <c r="C26" s="20"/>
      <c r="D26" s="20"/>
      <c r="E26" s="20"/>
    </row>
    <row r="27" spans="1:7" ht="15" customHeight="1">
      <c r="A27" s="21" t="s">
        <v>25</v>
      </c>
      <c r="B27" s="22"/>
      <c r="C27" s="22"/>
      <c r="D27" s="22"/>
      <c r="E27" s="22"/>
    </row>
    <row r="28" spans="1:7" ht="110.1" customHeight="1">
      <c r="A28" s="22" t="s">
        <v>17</v>
      </c>
      <c r="B28" s="22"/>
      <c r="C28" s="22"/>
      <c r="D28" s="22"/>
      <c r="E28" s="22"/>
    </row>
    <row r="29" spans="1:7" ht="23.1" customHeight="1">
      <c r="A29" s="23" t="s">
        <v>18</v>
      </c>
      <c r="B29" s="23"/>
      <c r="C29" s="23"/>
      <c r="D29" s="23"/>
      <c r="E29" s="23"/>
    </row>
    <row r="30" spans="1:7" ht="176.1" customHeight="1">
      <c r="A30" s="23" t="s">
        <v>19</v>
      </c>
      <c r="B30" s="23"/>
      <c r="C30" s="23"/>
      <c r="D30" s="23"/>
      <c r="E30" s="23"/>
    </row>
    <row r="31" spans="1:7">
      <c r="A31" s="7"/>
      <c r="B31" s="7"/>
      <c r="C31" s="7"/>
      <c r="D31" s="14"/>
      <c r="E31" s="14"/>
    </row>
    <row r="32" spans="1:7" ht="15.75">
      <c r="A32" s="16" t="s">
        <v>20</v>
      </c>
      <c r="B32" s="16"/>
      <c r="C32" s="17" t="s">
        <v>21</v>
      </c>
      <c r="D32" s="11"/>
      <c r="E32" s="14"/>
    </row>
    <row r="33" spans="1:5">
      <c r="A33" s="16" t="s">
        <v>22</v>
      </c>
      <c r="B33" s="16"/>
      <c r="C33" s="16" t="s">
        <v>26</v>
      </c>
      <c r="D33" s="16"/>
      <c r="E33" s="16"/>
    </row>
    <row r="34" spans="1:5">
      <c r="A34" s="16"/>
      <c r="B34" s="16"/>
      <c r="C34" s="16"/>
      <c r="D34" s="11"/>
      <c r="E34" s="11"/>
    </row>
    <row r="35" spans="1:5">
      <c r="A35" s="16"/>
      <c r="B35" s="16"/>
      <c r="C35" s="16"/>
      <c r="D35" s="11"/>
      <c r="E35" s="11"/>
    </row>
    <row r="36" spans="1:5">
      <c r="A36" s="7"/>
      <c r="B36" s="7"/>
      <c r="C36" s="16"/>
      <c r="D36" s="11"/>
      <c r="E36" s="11"/>
    </row>
    <row r="37" spans="1:5">
      <c r="A37" s="7"/>
      <c r="B37" s="7"/>
      <c r="C37" s="16"/>
      <c r="D37" s="11"/>
      <c r="E37" s="11"/>
    </row>
  </sheetData>
  <mergeCells count="15">
    <mergeCell ref="A1:E1"/>
    <mergeCell ref="A2:E2"/>
    <mergeCell ref="A3:E3"/>
    <mergeCell ref="A4:E4"/>
    <mergeCell ref="A7:E7"/>
    <mergeCell ref="A21:E21"/>
    <mergeCell ref="A22:E22"/>
    <mergeCell ref="A23:E23"/>
    <mergeCell ref="A24:E24"/>
    <mergeCell ref="A25:E25"/>
    <mergeCell ref="A26:E26"/>
    <mergeCell ref="A27:E27"/>
    <mergeCell ref="A28:E28"/>
    <mergeCell ref="A29:E29"/>
    <mergeCell ref="A30:E30"/>
  </mergeCells>
  <pageMargins left="0.75" right="0.75" top="1" bottom="1" header="0.51180555555555596" footer="0.51180555555555596"/>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Operator</cp:lastModifiedBy>
  <dcterms:created xsi:type="dcterms:W3CDTF">2017-04-07T09:32:00Z</dcterms:created>
  <dcterms:modified xsi:type="dcterms:W3CDTF">2026-03-17T09:24:28Z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2052-12.1.0.17827</vt:lpwstr>
  </property>
  <property fmtid="{D5CDD505-2E9C-101B-9397-08002B2CF9AE}" pid="3" name="ICV">
    <vt:lpwstr>64196C68753E4DD6858ED4D0F668E2E3_13</vt:lpwstr>
  </property>
</Properties>
</file>