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/>
  <mc:AlternateContent xmlns:mc="http://schemas.openxmlformats.org/markup-compatibility/2006">
    <mc:Choice Requires="x15">
      <x15ac:absPath xmlns:x15ac="http://schemas.microsoft.com/office/spreadsheetml/2010/11/ac" url="X:\ТАМОЖНЯ\документы прямые\ВИТОРИЯ\17583 GAOMI YATAN\Декларанту\"/>
    </mc:Choice>
  </mc:AlternateContent>
  <xr:revisionPtr revIDLastSave="0" documentId="13_ncr:1_{7160B68D-98F5-4BFC-A084-AB3B9CC4C708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R21" i="1" l="1"/>
  <c r="M12" i="1" s="1"/>
  <c r="Q21" i="1"/>
  <c r="E21" i="1"/>
  <c r="D21" i="1"/>
  <c r="E19" i="1"/>
  <c r="E18" i="1"/>
  <c r="E17" i="1"/>
  <c r="E16" i="1"/>
  <c r="K12" i="1"/>
  <c r="I12" i="1"/>
</calcChain>
</file>

<file path=xl/sharedStrings.xml><?xml version="1.0" encoding="utf-8"?>
<sst xmlns="http://schemas.openxmlformats.org/spreadsheetml/2006/main" count="40" uniqueCount="33">
  <si>
    <t>高密市诚美鞋业有限公司</t>
  </si>
  <si>
    <t>NO.1,MIDDLE OF ZHOUYANG ROAD, MISHUI DISTRICT,GAOMI SHANDONG,CHINA</t>
  </si>
  <si>
    <t>PACKING LIST</t>
  </si>
  <si>
    <r>
      <rPr>
        <sz val="10.5"/>
        <color theme="1"/>
        <rFont val="Arial"/>
        <family val="2"/>
        <charset val="204"/>
      </rPr>
      <t>TO</t>
    </r>
    <r>
      <rPr>
        <sz val="10.5"/>
        <color theme="1"/>
        <rFont val="宋体"/>
        <charset val="134"/>
      </rPr>
      <t>：</t>
    </r>
    <r>
      <rPr>
        <sz val="10.5"/>
        <color theme="1"/>
        <rFont val="Arial"/>
        <family val="2"/>
        <charset val="204"/>
      </rPr>
      <t xml:space="preserve">«Vitoria» LLC.   </t>
    </r>
  </si>
  <si>
    <t>INVOICE No:MD260224</t>
  </si>
  <si>
    <t xml:space="preserve">Address  125183, Russia, Moscow, </t>
  </si>
  <si>
    <t xml:space="preserve">               DATE :24TH FEB.,2026</t>
  </si>
  <si>
    <t>B. Academicheskaya str., b.79-3 room.7</t>
  </si>
  <si>
    <t>INN 7743162195</t>
  </si>
  <si>
    <r>
      <rPr>
        <sz val="10"/>
        <color theme="1"/>
        <rFont val="Arial"/>
        <family val="2"/>
        <charset val="204"/>
      </rPr>
      <t xml:space="preserve"> </t>
    </r>
    <r>
      <rPr>
        <u/>
        <sz val="10"/>
        <color theme="1"/>
        <rFont val="Arial"/>
        <family val="2"/>
        <charset val="204"/>
      </rPr>
      <t>Description:</t>
    </r>
    <r>
      <rPr>
        <sz val="10"/>
        <color theme="1"/>
        <rFont val="Arial"/>
        <family val="2"/>
        <charset val="204"/>
      </rPr>
      <t xml:space="preserve"> Leather Men’s Shoes </t>
    </r>
  </si>
  <si>
    <t>SHIPPING MARK</t>
  </si>
  <si>
    <t>Description</t>
  </si>
  <si>
    <t>CTNS</t>
  </si>
  <si>
    <t>N.W</t>
  </si>
  <si>
    <t>G.W</t>
  </si>
  <si>
    <t>cbm</t>
  </si>
  <si>
    <t>AIRBOX</t>
  </si>
  <si>
    <t xml:space="preserve"> Shoes</t>
  </si>
  <si>
    <t xml:space="preserve">STYLE </t>
  </si>
  <si>
    <t>ARTICLE</t>
  </si>
  <si>
    <t>COLOUR</t>
  </si>
  <si>
    <t>Q-TY</t>
  </si>
  <si>
    <t>SIZE</t>
  </si>
  <si>
    <t>PAIRS</t>
  </si>
  <si>
    <t>REGENT</t>
  </si>
  <si>
    <t>BLK</t>
  </si>
  <si>
    <t>ALFRED</t>
  </si>
  <si>
    <t>BARON</t>
  </si>
  <si>
    <t xml:space="preserve">STAG </t>
  </si>
  <si>
    <t>TOTAL:</t>
  </si>
  <si>
    <t>SAY TOTAL:(200) TWO HUNDRED CTNS.</t>
  </si>
  <si>
    <t>Terms of delivery: EXW GAOMI, SHANDONG, China</t>
  </si>
  <si>
    <t>GAOMI MODERN SHOES CO.,LTD.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</si>
</sst>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204"/>
      <scheme val="minor"/>
    </font>
    <font>
      <b/>
      <sz val="28"/>
      <name val="楷体_GB2312"/>
      <charset val="134"/>
    </font>
    <font>
      <sz val="26"/>
      <name val="宋体"/>
      <charset val="134"/>
    </font>
    <font>
      <sz val="9"/>
      <name val="宋体"/>
      <charset val="134"/>
    </font>
    <font>
      <b/>
      <sz val="18"/>
      <name val="宋体"/>
      <charset val="134"/>
    </font>
    <font>
      <sz val="10.5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2"/>
      <name val="宋体"/>
      <charset val="134"/>
    </font>
    <font>
      <sz val="10.5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u/>
      <sz val="9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9"/>
      <color rgb="FFFF0000"/>
      <name val="Arial"/>
      <family val="2"/>
      <charset val="204"/>
    </font>
    <font>
      <b/>
      <sz val="9"/>
      <color rgb="FFFF0000"/>
      <name val="Arial"/>
      <family val="2"/>
      <charset val="204"/>
    </font>
    <font>
      <b/>
      <sz val="9"/>
      <color theme="1"/>
      <name val="Arial"/>
      <family val="2"/>
      <charset val="204"/>
    </font>
    <font>
      <b/>
      <sz val="9"/>
      <color rgb="FF000000"/>
      <name val="Arial"/>
      <family val="2"/>
      <charset val="204"/>
    </font>
    <font>
      <b/>
      <sz val="12"/>
      <color rgb="FF000000"/>
      <name val="Arial"/>
      <family val="2"/>
      <charset val="204"/>
    </font>
    <font>
      <b/>
      <sz val="12"/>
      <color theme="1"/>
      <name val="Arial"/>
      <family val="2"/>
      <charset val="204"/>
    </font>
    <font>
      <sz val="8.5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b/>
      <sz val="11"/>
      <name val="宋体"/>
      <charset val="134"/>
    </font>
    <font>
      <sz val="10"/>
      <color rgb="FFFF0000"/>
      <name val="Arial"/>
      <family val="2"/>
      <charset val="204"/>
    </font>
    <font>
      <sz val="10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u/>
      <sz val="10"/>
      <color theme="1"/>
      <name val="Arial"/>
      <family val="2"/>
      <charset val="204"/>
    </font>
    <font>
      <sz val="10.5"/>
      <color theme="1"/>
      <name val="宋体"/>
      <charset val="13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3">
    <xf numFmtId="0" fontId="0" fillId="0" borderId="0">
      <alignment vertical="center"/>
    </xf>
    <xf numFmtId="0" fontId="8" fillId="0" borderId="0">
      <alignment vertical="center"/>
    </xf>
    <xf numFmtId="0" fontId="28" fillId="0" borderId="0"/>
  </cellStyleXfs>
  <cellXfs count="56">
    <xf numFmtId="0" fontId="0" fillId="0" borderId="0" xfId="0">
      <alignment vertical="center"/>
    </xf>
    <xf numFmtId="0" fontId="5" fillId="0" borderId="0" xfId="1" applyFont="1" applyAlignment="1">
      <alignment horizontal="center"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8" fillId="0" borderId="0" xfId="1">
      <alignment vertical="center"/>
    </xf>
    <xf numFmtId="0" fontId="10" fillId="0" borderId="0" xfId="0" applyFont="1">
      <alignment vertical="center"/>
    </xf>
    <xf numFmtId="0" fontId="11" fillId="0" borderId="1" xfId="0" applyFont="1" applyBorder="1">
      <alignment vertical="center"/>
    </xf>
    <xf numFmtId="0" fontId="12" fillId="0" borderId="1" xfId="1" applyFont="1" applyBorder="1">
      <alignment vertical="center"/>
    </xf>
    <xf numFmtId="0" fontId="12" fillId="0" borderId="0" xfId="1" applyFont="1">
      <alignment vertical="center"/>
    </xf>
    <xf numFmtId="0" fontId="12" fillId="0" borderId="0" xfId="1" applyFont="1" applyAlignment="1">
      <alignment horizontal="center" vertical="center"/>
    </xf>
    <xf numFmtId="0" fontId="13" fillId="0" borderId="3" xfId="0" applyFont="1" applyBorder="1" applyAlignment="1">
      <alignment horizontal="center" vertical="top" wrapText="1"/>
    </xf>
    <xf numFmtId="0" fontId="13" fillId="0" borderId="7" xfId="0" applyFont="1" applyBorder="1" applyAlignment="1">
      <alignment horizontal="center" vertical="top" wrapText="1"/>
    </xf>
    <xf numFmtId="0" fontId="14" fillId="0" borderId="7" xfId="0" applyFont="1" applyBorder="1" applyAlignment="1">
      <alignment horizontal="left" vertical="top" wrapText="1"/>
    </xf>
    <xf numFmtId="0" fontId="14" fillId="0" borderId="7" xfId="0" applyFont="1" applyBorder="1" applyAlignment="1">
      <alignment horizontal="center" vertical="top" wrapText="1"/>
    </xf>
    <xf numFmtId="0" fontId="15" fillId="0" borderId="10" xfId="0" applyFont="1" applyBorder="1" applyAlignment="1">
      <alignment horizontal="center" vertical="center"/>
    </xf>
    <xf numFmtId="0" fontId="15" fillId="0" borderId="10" xfId="2" applyFont="1" applyBorder="1" applyAlignment="1">
      <alignment horizontal="center" vertical="center" wrapText="1"/>
    </xf>
    <xf numFmtId="0" fontId="11" fillId="0" borderId="10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left" vertical="top" wrapText="1"/>
    </xf>
    <xf numFmtId="0" fontId="14" fillId="0" borderId="10" xfId="0" applyFont="1" applyBorder="1" applyAlignment="1">
      <alignment horizontal="left" vertical="top" wrapText="1" indent="1"/>
    </xf>
    <xf numFmtId="0" fontId="16" fillId="0" borderId="10" xfId="0" applyFont="1" applyBorder="1" applyAlignment="1">
      <alignment horizontal="left" vertical="top" wrapText="1"/>
    </xf>
    <xf numFmtId="0" fontId="14" fillId="0" borderId="10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0" fontId="18" fillId="0" borderId="10" xfId="0" applyFont="1" applyBorder="1" applyAlignment="1">
      <alignment horizontal="center" vertical="top" wrapText="1"/>
    </xf>
    <xf numFmtId="0" fontId="19" fillId="0" borderId="10" xfId="0" applyFont="1" applyBorder="1" applyAlignment="1">
      <alignment horizontal="center" vertical="top" wrapText="1"/>
    </xf>
    <xf numFmtId="0" fontId="20" fillId="0" borderId="10" xfId="0" applyFont="1" applyBorder="1" applyAlignment="1">
      <alignment horizontal="center" vertical="top" wrapText="1"/>
    </xf>
    <xf numFmtId="0" fontId="21" fillId="0" borderId="10" xfId="0" applyFont="1" applyBorder="1" applyAlignment="1">
      <alignment horizontal="center" vertical="top" wrapText="1"/>
    </xf>
    <xf numFmtId="0" fontId="22" fillId="0" borderId="0" xfId="0" applyFont="1" applyAlignment="1">
      <alignment horizontal="left" vertical="top" wrapText="1"/>
    </xf>
    <xf numFmtId="0" fontId="24" fillId="0" borderId="0" xfId="1" applyFont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25" fillId="0" borderId="1" xfId="1" applyFont="1" applyBorder="1">
      <alignment vertical="center"/>
    </xf>
    <xf numFmtId="0" fontId="14" fillId="0" borderId="0" xfId="0" applyFont="1" applyAlignment="1">
      <alignment horizontal="justify" vertical="top" wrapText="1"/>
    </xf>
    <xf numFmtId="0" fontId="0" fillId="0" borderId="1" xfId="0" applyBorder="1">
      <alignment vertical="center"/>
    </xf>
    <xf numFmtId="0" fontId="12" fillId="0" borderId="10" xfId="0" applyFont="1" applyBorder="1">
      <alignment vertical="center"/>
    </xf>
    <xf numFmtId="0" fontId="11" fillId="0" borderId="10" xfId="0" applyFont="1" applyBorder="1">
      <alignment vertical="center"/>
    </xf>
    <xf numFmtId="0" fontId="27" fillId="0" borderId="10" xfId="0" applyFont="1" applyBorder="1">
      <alignment vertical="center"/>
    </xf>
    <xf numFmtId="0" fontId="21" fillId="0" borderId="10" xfId="0" applyFont="1" applyBorder="1">
      <alignment vertical="center"/>
    </xf>
    <xf numFmtId="0" fontId="26" fillId="0" borderId="10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top" wrapText="1"/>
    </xf>
    <xf numFmtId="0" fontId="13" fillId="0" borderId="5" xfId="0" applyFont="1" applyBorder="1" applyAlignment="1">
      <alignment horizontal="center" vertical="top" wrapText="1"/>
    </xf>
    <xf numFmtId="0" fontId="13" fillId="0" borderId="8" xfId="0" applyFont="1" applyBorder="1" applyAlignment="1">
      <alignment horizontal="center" vertical="top" wrapText="1"/>
    </xf>
    <xf numFmtId="0" fontId="13" fillId="0" borderId="9" xfId="0" applyFont="1" applyBorder="1" applyAlignment="1">
      <alignment horizontal="center" vertical="top" wrapText="1"/>
    </xf>
    <xf numFmtId="0" fontId="6" fillId="0" borderId="0" xfId="0" applyFont="1" applyAlignment="1">
      <alignment horizontal="justify" vertical="center"/>
    </xf>
    <xf numFmtId="0" fontId="9" fillId="0" borderId="0" xfId="0" applyFont="1">
      <alignment vertical="center"/>
    </xf>
    <xf numFmtId="0" fontId="23" fillId="0" borderId="0" xfId="0" applyFont="1" applyAlignment="1">
      <alignment horizontal="left" vertical="top" wrapText="1"/>
    </xf>
    <xf numFmtId="0" fontId="0" fillId="0" borderId="0" xfId="0" applyAlignment="1">
      <alignment vertical="center" wrapText="1"/>
    </xf>
    <xf numFmtId="0" fontId="13" fillId="0" borderId="2" xfId="0" applyFont="1" applyBorder="1" applyAlignment="1">
      <alignment horizontal="center" vertical="top" wrapText="1"/>
    </xf>
    <xf numFmtId="0" fontId="13" fillId="0" borderId="6" xfId="0" applyFont="1" applyBorder="1" applyAlignment="1">
      <alignment horizontal="center" vertical="top" wrapText="1"/>
    </xf>
    <xf numFmtId="0" fontId="2" fillId="0" borderId="0" xfId="1" applyFont="1" applyAlignment="1">
      <alignment horizontal="center" vertical="center"/>
    </xf>
    <xf numFmtId="0" fontId="0" fillId="0" borderId="0" xfId="0">
      <alignment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7" fillId="0" borderId="0" xfId="0" applyFont="1">
      <alignment vertical="center"/>
    </xf>
    <xf numFmtId="0" fontId="1" fillId="0" borderId="0" xfId="0" applyFont="1">
      <alignment vertical="center"/>
    </xf>
  </cellXfs>
  <cellStyles count="3">
    <cellStyle name="Normal 2 3" xfId="2" xr:uid="{00000000-0005-0000-0000-000032000000}"/>
    <cellStyle name="Обычный" xfId="0" builtinId="0"/>
    <cellStyle name="常规 2" xfId="1" xr:uid="{00000000-0005-0000-0000-000031000000}"/>
  </cellStyles>
  <dxfs count="0"/>
  <tableStyles count="0" defaultTableStyle="TableStyleMedium9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28"/>
  <sheetViews>
    <sheetView tabSelected="1" topLeftCell="A2" workbookViewId="0">
      <selection activeCell="J29" sqref="J29"/>
    </sheetView>
  </sheetViews>
  <sheetFormatPr defaultColWidth="9" defaultRowHeight="15"/>
  <cols>
    <col min="1" max="1" width="14.7109375" customWidth="1"/>
    <col min="3" max="3" width="7" customWidth="1"/>
    <col min="4" max="4" width="6.7109375" customWidth="1"/>
    <col min="5" max="5" width="7.28515625" customWidth="1"/>
    <col min="6" max="10" width="4.5703125" customWidth="1"/>
    <col min="11" max="11" width="7.28515625" customWidth="1"/>
    <col min="12" max="12" width="4.5703125" customWidth="1"/>
    <col min="13" max="13" width="7.42578125" customWidth="1"/>
    <col min="14" max="15" width="4.5703125" customWidth="1"/>
    <col min="16" max="16" width="5.85546875" customWidth="1"/>
    <col min="17" max="17" width="7" customWidth="1"/>
    <col min="18" max="18" width="8.85546875" customWidth="1"/>
  </cols>
  <sheetData>
    <row r="1" spans="1:20" ht="35.25">
      <c r="A1" s="49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50"/>
      <c r="P1" s="50"/>
    </row>
    <row r="2" spans="1:20" ht="33.75">
      <c r="A2" s="51" t="s">
        <v>32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0"/>
      <c r="P2" s="50"/>
    </row>
    <row r="3" spans="1:20">
      <c r="A3" s="52" t="s">
        <v>1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0"/>
      <c r="P3" s="50"/>
    </row>
    <row r="4" spans="1:20" ht="22.5">
      <c r="A4" s="53" t="s">
        <v>2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0"/>
      <c r="P4" s="50"/>
    </row>
    <row r="5" spans="1:20" ht="22.5">
      <c r="A5" s="43" t="s">
        <v>3</v>
      </c>
      <c r="B5" s="43"/>
      <c r="C5" s="43"/>
      <c r="D5" s="54"/>
      <c r="E5" s="54"/>
      <c r="F5" s="1"/>
      <c r="G5" s="1"/>
      <c r="N5" s="4"/>
      <c r="O5" s="28"/>
      <c r="P5" s="28" t="s">
        <v>4</v>
      </c>
      <c r="Q5" s="28"/>
      <c r="S5" s="1"/>
      <c r="T5" s="4"/>
    </row>
    <row r="6" spans="1:20" ht="17.25" customHeight="1">
      <c r="A6" s="3" t="s">
        <v>5</v>
      </c>
      <c r="B6" s="3"/>
      <c r="C6" s="3"/>
      <c r="D6" s="2"/>
      <c r="E6" s="2"/>
      <c r="F6" s="1"/>
      <c r="G6" s="1"/>
      <c r="N6" s="4"/>
      <c r="O6" s="28" t="s">
        <v>6</v>
      </c>
      <c r="P6" s="28"/>
      <c r="Q6" s="28"/>
      <c r="S6" s="1"/>
      <c r="T6" s="4"/>
    </row>
    <row r="7" spans="1:20" ht="17.25" customHeight="1">
      <c r="A7" s="3" t="s">
        <v>7</v>
      </c>
      <c r="B7" s="3"/>
      <c r="C7" s="3"/>
      <c r="D7" s="3"/>
      <c r="E7" s="3"/>
      <c r="F7" s="4"/>
      <c r="G7" s="4"/>
      <c r="H7" s="4"/>
      <c r="I7" s="4"/>
      <c r="J7" s="4"/>
      <c r="K7" s="4"/>
      <c r="L7" s="4"/>
      <c r="M7" s="4"/>
      <c r="N7" s="4"/>
    </row>
    <row r="8" spans="1:20" ht="17.25" customHeight="1">
      <c r="A8" s="43" t="s">
        <v>8</v>
      </c>
      <c r="B8" s="43"/>
      <c r="C8" s="43"/>
      <c r="D8" s="44"/>
      <c r="E8" s="44"/>
      <c r="F8" s="4"/>
      <c r="G8" s="4"/>
      <c r="H8" s="4"/>
      <c r="I8" s="4"/>
      <c r="J8" s="4"/>
      <c r="K8" s="4"/>
      <c r="L8" s="4"/>
      <c r="M8" s="4"/>
      <c r="N8" s="4"/>
    </row>
    <row r="9" spans="1:20">
      <c r="A9" s="5" t="s">
        <v>31</v>
      </c>
      <c r="B9" s="5"/>
    </row>
    <row r="10" spans="1:20">
      <c r="A10" s="6" t="s">
        <v>9</v>
      </c>
      <c r="B10" s="6"/>
      <c r="C10" s="7"/>
      <c r="D10" s="7"/>
      <c r="E10" s="7"/>
      <c r="F10" s="7"/>
      <c r="G10" s="7"/>
      <c r="H10" s="7"/>
      <c r="I10" s="7"/>
      <c r="J10" s="7"/>
      <c r="K10" s="7"/>
      <c r="L10" s="29"/>
      <c r="M10" s="30"/>
      <c r="N10" s="7"/>
      <c r="O10" s="6"/>
      <c r="P10" s="6"/>
      <c r="Q10" s="32"/>
      <c r="R10" s="32"/>
    </row>
    <row r="11" spans="1:20">
      <c r="A11" s="8" t="s">
        <v>10</v>
      </c>
      <c r="B11" s="8"/>
      <c r="C11" s="9"/>
      <c r="D11" s="9"/>
      <c r="E11" s="8"/>
      <c r="F11" s="8" t="s">
        <v>11</v>
      </c>
      <c r="G11" s="8"/>
      <c r="H11" s="8"/>
      <c r="I11" s="8" t="s">
        <v>12</v>
      </c>
      <c r="K11" s="9" t="s">
        <v>13</v>
      </c>
      <c r="L11" s="9"/>
      <c r="M11" s="9" t="s">
        <v>14</v>
      </c>
      <c r="O11" s="8"/>
      <c r="P11" s="9" t="s">
        <v>15</v>
      </c>
    </row>
    <row r="12" spans="1:20">
      <c r="A12" s="8" t="s">
        <v>16</v>
      </c>
      <c r="B12" s="8"/>
      <c r="C12" s="9"/>
      <c r="D12" s="9"/>
      <c r="E12" s="8"/>
      <c r="F12" s="8" t="s">
        <v>17</v>
      </c>
      <c r="G12" s="8"/>
      <c r="H12" s="8"/>
      <c r="I12" s="9">
        <f>E21</f>
        <v>200</v>
      </c>
      <c r="K12" s="9">
        <f>Q21</f>
        <v>2520</v>
      </c>
      <c r="L12" s="9"/>
      <c r="M12" s="9">
        <f>R21</f>
        <v>2760</v>
      </c>
      <c r="O12" s="8"/>
      <c r="P12" s="9">
        <v>15.44</v>
      </c>
    </row>
    <row r="13" spans="1:20" ht="13.5" customHeight="1">
      <c r="A13" s="47" t="s">
        <v>18</v>
      </c>
      <c r="B13" s="47" t="s">
        <v>19</v>
      </c>
      <c r="C13" s="47" t="s">
        <v>20</v>
      </c>
      <c r="D13" s="10" t="s">
        <v>21</v>
      </c>
      <c r="E13" s="47" t="s">
        <v>12</v>
      </c>
      <c r="F13" s="39" t="s">
        <v>22</v>
      </c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37" t="s">
        <v>13</v>
      </c>
      <c r="R13" s="37" t="s">
        <v>14</v>
      </c>
    </row>
    <row r="14" spans="1:20">
      <c r="A14" s="48"/>
      <c r="B14" s="48"/>
      <c r="C14" s="48"/>
      <c r="D14" s="11" t="s">
        <v>23</v>
      </c>
      <c r="E14" s="48"/>
      <c r="F14" s="41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37"/>
      <c r="R14" s="37"/>
    </row>
    <row r="15" spans="1:20">
      <c r="A15" s="48"/>
      <c r="B15" s="48"/>
      <c r="C15" s="48"/>
      <c r="D15" s="12"/>
      <c r="E15" s="48"/>
      <c r="F15" s="13">
        <v>36</v>
      </c>
      <c r="G15" s="13">
        <v>37</v>
      </c>
      <c r="H15" s="13">
        <v>38</v>
      </c>
      <c r="I15" s="13">
        <v>39</v>
      </c>
      <c r="J15" s="13">
        <v>40</v>
      </c>
      <c r="K15" s="13">
        <v>41</v>
      </c>
      <c r="L15" s="13">
        <v>42</v>
      </c>
      <c r="M15" s="13">
        <v>43</v>
      </c>
      <c r="N15" s="13">
        <v>44</v>
      </c>
      <c r="O15" s="13">
        <v>45</v>
      </c>
      <c r="P15" s="31">
        <v>46</v>
      </c>
      <c r="Q15" s="38"/>
      <c r="R15" s="37"/>
    </row>
    <row r="16" spans="1:20" ht="26.1" customHeight="1">
      <c r="A16" s="14" t="s">
        <v>24</v>
      </c>
      <c r="B16" s="15">
        <v>135532</v>
      </c>
      <c r="C16" s="16" t="s">
        <v>25</v>
      </c>
      <c r="D16" s="16">
        <v>300</v>
      </c>
      <c r="E16" s="17">
        <f>D16/6</f>
        <v>50</v>
      </c>
      <c r="F16" s="17"/>
      <c r="G16" s="17"/>
      <c r="H16" s="17">
        <v>10</v>
      </c>
      <c r="I16" s="17">
        <v>15</v>
      </c>
      <c r="J16" s="17">
        <v>25</v>
      </c>
      <c r="K16" s="17">
        <v>50</v>
      </c>
      <c r="L16" s="17">
        <v>65</v>
      </c>
      <c r="M16" s="17">
        <v>60</v>
      </c>
      <c r="N16" s="17">
        <v>35</v>
      </c>
      <c r="O16" s="17">
        <v>25</v>
      </c>
      <c r="P16" s="17">
        <v>15</v>
      </c>
      <c r="Q16" s="33">
        <v>607.5</v>
      </c>
      <c r="R16" s="33">
        <v>667.5</v>
      </c>
    </row>
    <row r="17" spans="1:18" ht="26.1" customHeight="1">
      <c r="A17" s="14" t="s">
        <v>26</v>
      </c>
      <c r="B17" s="15">
        <v>135533</v>
      </c>
      <c r="C17" s="16" t="s">
        <v>25</v>
      </c>
      <c r="D17" s="16">
        <v>300</v>
      </c>
      <c r="E17" s="17">
        <f>D17/6</f>
        <v>50</v>
      </c>
      <c r="F17" s="17"/>
      <c r="G17" s="17"/>
      <c r="H17" s="17">
        <v>15</v>
      </c>
      <c r="I17" s="17">
        <v>20</v>
      </c>
      <c r="J17" s="17">
        <v>25</v>
      </c>
      <c r="K17" s="17">
        <v>45</v>
      </c>
      <c r="L17" s="17">
        <v>65</v>
      </c>
      <c r="M17" s="17">
        <v>55</v>
      </c>
      <c r="N17" s="17">
        <v>35</v>
      </c>
      <c r="O17" s="17">
        <v>25</v>
      </c>
      <c r="P17" s="17">
        <v>15</v>
      </c>
      <c r="Q17" s="33">
        <v>637.5</v>
      </c>
      <c r="R17" s="33">
        <v>697.5</v>
      </c>
    </row>
    <row r="18" spans="1:18" ht="26.1" customHeight="1">
      <c r="A18" s="14" t="s">
        <v>27</v>
      </c>
      <c r="B18" s="15">
        <v>135534</v>
      </c>
      <c r="C18" s="16" t="s">
        <v>25</v>
      </c>
      <c r="D18" s="16">
        <v>300</v>
      </c>
      <c r="E18" s="17">
        <f>D18/6</f>
        <v>50</v>
      </c>
      <c r="F18" s="17"/>
      <c r="G18" s="17"/>
      <c r="H18" s="17">
        <v>15</v>
      </c>
      <c r="I18" s="17">
        <v>20</v>
      </c>
      <c r="J18" s="17">
        <v>25</v>
      </c>
      <c r="K18" s="17">
        <v>45</v>
      </c>
      <c r="L18" s="17">
        <v>65</v>
      </c>
      <c r="M18" s="17">
        <v>55</v>
      </c>
      <c r="N18" s="17">
        <v>35</v>
      </c>
      <c r="O18" s="17">
        <v>25</v>
      </c>
      <c r="P18" s="17">
        <v>15</v>
      </c>
      <c r="Q18" s="34">
        <v>637.5</v>
      </c>
      <c r="R18" s="34">
        <v>697.5</v>
      </c>
    </row>
    <row r="19" spans="1:18" ht="26.1" customHeight="1">
      <c r="A19" s="14" t="s">
        <v>28</v>
      </c>
      <c r="B19" s="15">
        <v>135662</v>
      </c>
      <c r="C19" s="16" t="s">
        <v>25</v>
      </c>
      <c r="D19" s="16">
        <v>300</v>
      </c>
      <c r="E19" s="17">
        <f>D19/6</f>
        <v>50</v>
      </c>
      <c r="F19" s="17"/>
      <c r="G19" s="17"/>
      <c r="H19" s="17">
        <v>15</v>
      </c>
      <c r="I19" s="17">
        <v>20</v>
      </c>
      <c r="J19" s="17">
        <v>25</v>
      </c>
      <c r="K19" s="17">
        <v>45</v>
      </c>
      <c r="L19" s="17">
        <v>65</v>
      </c>
      <c r="M19" s="17">
        <v>55</v>
      </c>
      <c r="N19" s="17">
        <v>35</v>
      </c>
      <c r="O19" s="17">
        <v>25</v>
      </c>
      <c r="P19" s="17">
        <v>15</v>
      </c>
      <c r="Q19" s="34">
        <v>637.5</v>
      </c>
      <c r="R19" s="34">
        <v>697.5</v>
      </c>
    </row>
    <row r="20" spans="1:18" ht="21" customHeight="1">
      <c r="A20" s="18"/>
      <c r="B20" s="18"/>
      <c r="C20" s="19"/>
      <c r="D20" s="20"/>
      <c r="E20" s="21"/>
      <c r="F20" s="22"/>
      <c r="G20" s="22"/>
      <c r="H20" s="22"/>
      <c r="I20" s="22"/>
      <c r="J20" s="22"/>
      <c r="K20" s="22"/>
      <c r="L20" s="21"/>
      <c r="M20" s="21"/>
      <c r="N20" s="21"/>
      <c r="O20" s="21"/>
      <c r="P20" s="21"/>
      <c r="Q20" s="35"/>
      <c r="R20" s="35"/>
    </row>
    <row r="21" spans="1:18" ht="24" customHeight="1">
      <c r="A21" s="23" t="s">
        <v>29</v>
      </c>
      <c r="B21" s="23"/>
      <c r="C21" s="24"/>
      <c r="D21" s="25">
        <f>SUM(D16:D20)</f>
        <v>1200</v>
      </c>
      <c r="E21" s="26">
        <f>SUM(E16:E20)</f>
        <v>200</v>
      </c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36">
        <f>SUM(Q16:Q20)</f>
        <v>2520</v>
      </c>
      <c r="R21" s="36">
        <f>SUM(R16:R20)</f>
        <v>2760</v>
      </c>
    </row>
    <row r="23" spans="1:18">
      <c r="A23" s="27"/>
      <c r="B23" s="27"/>
    </row>
    <row r="24" spans="1:18" ht="18.75" customHeight="1">
      <c r="A24" s="45" t="s">
        <v>30</v>
      </c>
      <c r="B24" s="45"/>
      <c r="C24" s="46"/>
      <c r="D24" s="46"/>
      <c r="E24" s="46"/>
      <c r="F24" s="46"/>
      <c r="G24" s="46"/>
      <c r="H24" s="46"/>
      <c r="I24" s="46"/>
      <c r="J24" s="46"/>
    </row>
    <row r="28" spans="1:18">
      <c r="J28" s="55" t="s">
        <v>32</v>
      </c>
    </row>
  </sheetData>
  <mergeCells count="14">
    <mergeCell ref="A1:P1"/>
    <mergeCell ref="A2:P2"/>
    <mergeCell ref="A3:P3"/>
    <mergeCell ref="A4:P4"/>
    <mergeCell ref="A5:E5"/>
    <mergeCell ref="Q13:Q15"/>
    <mergeCell ref="R13:R15"/>
    <mergeCell ref="F13:P14"/>
    <mergeCell ref="A8:E8"/>
    <mergeCell ref="A24:J24"/>
    <mergeCell ref="A13:A15"/>
    <mergeCell ref="B13:B15"/>
    <mergeCell ref="C13:C15"/>
    <mergeCell ref="E13:E15"/>
  </mergeCells>
  <pageMargins left="0.7" right="0.7" top="0.75" bottom="0.75" header="0.3" footer="0.3"/>
  <pageSetup paperSize="9" scale="74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RDZharinovK</cp:lastModifiedBy>
  <cp:lastPrinted>2026-03-11T10:38:30Z</cp:lastPrinted>
  <dcterms:created xsi:type="dcterms:W3CDTF">2016-07-11T01:36:00Z</dcterms:created>
  <dcterms:modified xsi:type="dcterms:W3CDTF">2026-03-17T09:46:37Z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D6BD27C8E38F4B4A8BEBAA9727853BCB</vt:lpwstr>
  </property>
  <property fmtid="{D5CDD505-2E9C-101B-9397-08002B2CF9AE}" pid="3" name="KSOProductBuildVer">
    <vt:lpwstr>2052-12.1.0.20305</vt:lpwstr>
  </property>
</Properties>
</file>