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ВИТОРИЯ\17583 GAOMI YATAN\Декларанту\"/>
    </mc:Choice>
  </mc:AlternateContent>
  <xr:revisionPtr revIDLastSave="0" documentId="13_ncr:1_{5E17BE26-D90C-4618-BB5A-06742719B2B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18" i="1" l="1"/>
  <c r="H16" i="1"/>
  <c r="H15" i="1"/>
  <c r="H14" i="1"/>
  <c r="H13" i="1"/>
  <c r="H18" i="1" l="1"/>
</calcChain>
</file>

<file path=xl/sharedStrings.xml><?xml version="1.0" encoding="utf-8"?>
<sst xmlns="http://schemas.openxmlformats.org/spreadsheetml/2006/main" count="39" uniqueCount="33">
  <si>
    <t>COMMERCIAL INVOICE</t>
  </si>
  <si>
    <r>
      <rPr>
        <sz val="10.5"/>
        <color theme="1"/>
        <rFont val="Arial"/>
        <family val="2"/>
        <charset val="204"/>
      </rPr>
      <t>TO</t>
    </r>
    <r>
      <rPr>
        <sz val="10.5"/>
        <color theme="1"/>
        <rFont val="宋体"/>
        <charset val="134"/>
      </rPr>
      <t>：</t>
    </r>
    <r>
      <rPr>
        <sz val="10.5"/>
        <color theme="1"/>
        <rFont val="Arial"/>
        <family val="2"/>
        <charset val="204"/>
      </rPr>
      <t xml:space="preserve">«Vitoria» LLC.   </t>
    </r>
  </si>
  <si>
    <t>INVOICE No:MD260224</t>
  </si>
  <si>
    <t xml:space="preserve">Address  125183, Russia, Moscow, </t>
  </si>
  <si>
    <t>DATE :24TH FEB.,2026</t>
  </si>
  <si>
    <t>B. Academicheskaya str., b.79-3 room.7</t>
  </si>
  <si>
    <t>INN 7743162195</t>
  </si>
  <si>
    <t>TO:</t>
  </si>
  <si>
    <t>SHIPPING MARK</t>
  </si>
  <si>
    <t>Description</t>
  </si>
  <si>
    <t>AIRBOX</t>
  </si>
  <si>
    <t xml:space="preserve"> Shoes</t>
  </si>
  <si>
    <t>Style</t>
  </si>
  <si>
    <t>Article</t>
  </si>
  <si>
    <t>HS code</t>
  </si>
  <si>
    <t>Color</t>
  </si>
  <si>
    <t>Upper</t>
  </si>
  <si>
    <t>Quantity pairs</t>
  </si>
  <si>
    <t>Unit Price</t>
  </si>
  <si>
    <t>Amount</t>
  </si>
  <si>
    <t>REGENT</t>
  </si>
  <si>
    <t>BLK</t>
  </si>
  <si>
    <t>leather</t>
  </si>
  <si>
    <t>ALFRED</t>
  </si>
  <si>
    <t>BARON</t>
  </si>
  <si>
    <t xml:space="preserve">STAG </t>
  </si>
  <si>
    <t>TOTAL</t>
  </si>
  <si>
    <t>Moscow</t>
  </si>
  <si>
    <r>
      <t xml:space="preserve">FROM: EX WORKS </t>
    </r>
    <r>
      <rPr>
        <sz val="12"/>
        <color rgb="FFFF0000"/>
        <rFont val="Arial"/>
        <family val="2"/>
        <charset val="204"/>
      </rPr>
      <t>GAOMI, SHANDONG</t>
    </r>
  </si>
  <si>
    <t>GAOMI MODERN SHOES CO.,LTD.</t>
  </si>
  <si>
    <t>高密市美登鞋业有限公司</t>
  </si>
  <si>
    <t>NO.1,MIDDLE OF ZHOUYANG ROAD, MISHUI DISTRICT,GAOMI SHANDONG,CHINA</t>
  </si>
  <si>
    <t xml:space="preserve">SAY TOTAL:TWO HUNDRED AND SEVEN THOUSAND YUAN ONLY.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</si>
</sst>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￥&quot;#,##0.00;&quot;￥&quot;\-#,##0.00"/>
    <numFmt numFmtId="165" formatCode="\$#,##0.00_);[Red]\(\$#,##0.00\)"/>
  </numFmts>
  <fonts count="27">
    <font>
      <sz val="11"/>
      <color theme="1"/>
      <name val="Calibri"/>
      <charset val="134"/>
      <scheme val="minor"/>
    </font>
    <font>
      <sz val="12"/>
      <name val="Arial"/>
      <family val="2"/>
      <charset val="204"/>
    </font>
    <font>
      <b/>
      <sz val="28"/>
      <name val="楷体_GB2312"/>
      <charset val="134"/>
    </font>
    <font>
      <sz val="20"/>
      <name val="宋体"/>
      <charset val="134"/>
    </font>
    <font>
      <sz val="9"/>
      <name val="宋体"/>
      <charset val="134"/>
    </font>
    <font>
      <b/>
      <sz val="18"/>
      <name val="宋体"/>
      <charset val="134"/>
    </font>
    <font>
      <sz val="10.5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宋体"/>
      <charset val="134"/>
    </font>
    <font>
      <sz val="10.5"/>
      <color theme="1"/>
      <name val="Calibri"/>
      <family val="2"/>
      <charset val="204"/>
      <scheme val="minor"/>
    </font>
    <font>
      <sz val="12"/>
      <name val="宋体"/>
      <charset val="134"/>
    </font>
    <font>
      <sz val="12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9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.5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.5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5" fillId="0" borderId="0">
      <alignment vertical="top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/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2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2" applyFont="1" applyAlignment="1">
      <alignment horizontal="left" vertical="center"/>
    </xf>
    <xf numFmtId="0" fontId="10" fillId="0" borderId="0" xfId="2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13" fillId="0" borderId="1" xfId="2" applyFont="1" applyBorder="1">
      <alignment vertical="center"/>
    </xf>
    <xf numFmtId="0" fontId="13" fillId="0" borderId="1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center"/>
    </xf>
    <xf numFmtId="0" fontId="16" fillId="0" borderId="2" xfId="4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distributed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justify" vertical="center" wrapText="1"/>
    </xf>
    <xf numFmtId="0" fontId="21" fillId="0" borderId="2" xfId="0" applyFont="1" applyBorder="1" applyAlignment="1">
      <alignment horizontal="left" vertical="center" wrapText="1"/>
    </xf>
    <xf numFmtId="0" fontId="19" fillId="0" borderId="2" xfId="3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justify" vertical="center" wrapText="1"/>
    </xf>
    <xf numFmtId="0" fontId="15" fillId="0" borderId="2" xfId="0" applyFont="1" applyBorder="1" applyAlignment="1">
      <alignment horizontal="left" vertical="center" wrapText="1"/>
    </xf>
    <xf numFmtId="165" fontId="15" fillId="0" borderId="2" xfId="0" applyNumberFormat="1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64" fontId="17" fillId="0" borderId="2" xfId="0" applyNumberFormat="1" applyFont="1" applyBorder="1" applyAlignment="1">
      <alignment horizontal="left" vertical="center" wrapText="1"/>
    </xf>
    <xf numFmtId="164" fontId="15" fillId="0" borderId="2" xfId="0" applyNumberFormat="1" applyFont="1" applyBorder="1" applyAlignment="1">
      <alignment horizontal="left" vertical="center" wrapText="1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23" fillId="0" borderId="0" xfId="0" applyFont="1" applyAlignment="1">
      <alignment horizontal="center" vertical="center"/>
    </xf>
  </cellXfs>
  <cellStyles count="5">
    <cellStyle name="Normal 2 2" xfId="1" xr:uid="{00000000-0005-0000-0000-000000000000}"/>
    <cellStyle name="Normal 2 3" xfId="4" xr:uid="{00000000-0005-0000-0000-000001000000}"/>
    <cellStyle name="Обычный" xfId="0" builtinId="0"/>
    <cellStyle name="常规 2" xfId="2" xr:uid="{00000000-0005-0000-0000-000003000000}"/>
    <cellStyle name="常规 3" xfId="3" xr:uid="{00000000-0005-0000-0000-000004000000}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35" sqref="C35"/>
    </sheetView>
  </sheetViews>
  <sheetFormatPr defaultColWidth="9" defaultRowHeight="15"/>
  <cols>
    <col min="1" max="2" width="16.42578125" customWidth="1"/>
    <col min="3" max="3" width="24.5703125" customWidth="1"/>
    <col min="4" max="4" width="6.42578125" customWidth="1"/>
    <col min="5" max="5" width="13.85546875" customWidth="1"/>
    <col min="6" max="6" width="6.5703125" customWidth="1"/>
    <col min="7" max="7" width="10.28515625" customWidth="1"/>
    <col min="8" max="8" width="19.85546875" customWidth="1"/>
  </cols>
  <sheetData>
    <row r="1" spans="1:8" ht="35.25">
      <c r="A1" s="39" t="s">
        <v>30</v>
      </c>
      <c r="B1" s="39"/>
      <c r="C1" s="39"/>
      <c r="D1" s="39"/>
      <c r="E1" s="39"/>
      <c r="F1" s="39"/>
      <c r="G1" s="39"/>
      <c r="H1" s="39"/>
    </row>
    <row r="2" spans="1:8" ht="25.5">
      <c r="A2" s="40" t="s">
        <v>29</v>
      </c>
      <c r="B2" s="40"/>
      <c r="C2" s="40"/>
      <c r="D2" s="40"/>
      <c r="E2" s="40"/>
      <c r="F2" s="40"/>
      <c r="G2" s="40"/>
      <c r="H2" s="40"/>
    </row>
    <row r="3" spans="1:8">
      <c r="A3" s="41" t="s">
        <v>31</v>
      </c>
      <c r="B3" s="41"/>
      <c r="C3" s="41"/>
      <c r="D3" s="41"/>
      <c r="E3" s="41"/>
      <c r="F3" s="41"/>
      <c r="G3" s="41"/>
      <c r="H3" s="41"/>
    </row>
    <row r="4" spans="1:8" ht="22.5">
      <c r="A4" s="42" t="s">
        <v>0</v>
      </c>
      <c r="B4" s="42"/>
      <c r="C4" s="42"/>
      <c r="D4" s="42"/>
      <c r="E4" s="42"/>
      <c r="F4" s="42"/>
      <c r="G4" s="42"/>
      <c r="H4" s="42"/>
    </row>
    <row r="5" spans="1:8" ht="18" customHeight="1">
      <c r="A5" s="43" t="s">
        <v>1</v>
      </c>
      <c r="B5" s="43"/>
      <c r="C5" s="43"/>
      <c r="D5" s="44"/>
      <c r="E5" s="44"/>
      <c r="F5" s="3"/>
      <c r="G5" s="3" t="s">
        <v>2</v>
      </c>
      <c r="H5" s="3"/>
    </row>
    <row r="6" spans="1:8" ht="18" customHeight="1">
      <c r="A6" s="4" t="s">
        <v>3</v>
      </c>
      <c r="B6" s="4"/>
      <c r="C6" s="4"/>
      <c r="D6" s="2"/>
      <c r="E6" s="2"/>
      <c r="F6" s="5" t="s">
        <v>4</v>
      </c>
      <c r="G6" s="3"/>
      <c r="H6" s="3"/>
    </row>
    <row r="7" spans="1:8" ht="18" customHeight="1">
      <c r="A7" s="4" t="s">
        <v>5</v>
      </c>
      <c r="B7" s="4"/>
      <c r="C7" s="4"/>
      <c r="D7" s="4"/>
      <c r="E7" s="4"/>
      <c r="F7" s="3"/>
      <c r="G7" s="3"/>
      <c r="H7" s="3"/>
    </row>
    <row r="8" spans="1:8" ht="18" customHeight="1">
      <c r="A8" s="43" t="s">
        <v>6</v>
      </c>
      <c r="B8" s="43"/>
      <c r="C8" s="43"/>
      <c r="D8" s="45"/>
      <c r="E8" s="45"/>
      <c r="F8" s="6"/>
      <c r="G8" s="6"/>
      <c r="H8" s="6"/>
    </row>
    <row r="9" spans="1:8">
      <c r="A9" s="1" t="s">
        <v>28</v>
      </c>
      <c r="B9" s="7"/>
      <c r="C9" s="8"/>
      <c r="D9" s="8"/>
      <c r="E9" s="8"/>
      <c r="F9" s="9" t="s">
        <v>7</v>
      </c>
      <c r="G9" s="9" t="s">
        <v>27</v>
      </c>
      <c r="H9" s="10"/>
    </row>
    <row r="10" spans="1:8">
      <c r="A10" s="11" t="s">
        <v>8</v>
      </c>
      <c r="B10" s="11"/>
      <c r="C10" s="12"/>
      <c r="D10" s="12"/>
      <c r="E10" s="11" t="s">
        <v>9</v>
      </c>
      <c r="F10" s="11"/>
      <c r="G10" s="12"/>
      <c r="H10" s="12"/>
    </row>
    <row r="11" spans="1:8">
      <c r="A11" s="9" t="s">
        <v>10</v>
      </c>
      <c r="B11" s="9"/>
      <c r="C11" s="13"/>
      <c r="D11" s="13"/>
      <c r="E11" s="9" t="s">
        <v>11</v>
      </c>
      <c r="F11" s="13"/>
      <c r="G11" s="13"/>
      <c r="H11" s="13"/>
    </row>
    <row r="12" spans="1:8" ht="27.75" customHeight="1">
      <c r="A12" s="14" t="s">
        <v>12</v>
      </c>
      <c r="B12" s="14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5" t="s">
        <v>19</v>
      </c>
    </row>
    <row r="13" spans="1:8" ht="15.95" customHeight="1">
      <c r="A13" s="16" t="s">
        <v>20</v>
      </c>
      <c r="B13" s="17">
        <v>135532</v>
      </c>
      <c r="C13" s="18">
        <v>6403400000</v>
      </c>
      <c r="D13" s="19" t="s">
        <v>21</v>
      </c>
      <c r="E13" s="20" t="s">
        <v>22</v>
      </c>
      <c r="F13" s="16">
        <v>300</v>
      </c>
      <c r="G13" s="21">
        <v>150</v>
      </c>
      <c r="H13" s="37">
        <f>G13*F13</f>
        <v>45000</v>
      </c>
    </row>
    <row r="14" spans="1:8" ht="15.95" customHeight="1">
      <c r="A14" s="16" t="s">
        <v>23</v>
      </c>
      <c r="B14" s="17">
        <v>135533</v>
      </c>
      <c r="C14" s="18">
        <v>6403400000</v>
      </c>
      <c r="D14" s="19" t="s">
        <v>21</v>
      </c>
      <c r="E14" s="22" t="s">
        <v>22</v>
      </c>
      <c r="F14" s="16">
        <v>300</v>
      </c>
      <c r="G14" s="21">
        <v>170</v>
      </c>
      <c r="H14" s="37">
        <f>G14*F14</f>
        <v>51000</v>
      </c>
    </row>
    <row r="15" spans="1:8" ht="15.95" customHeight="1">
      <c r="A15" s="16" t="s">
        <v>24</v>
      </c>
      <c r="B15" s="17">
        <v>135534</v>
      </c>
      <c r="C15" s="18">
        <v>6403400000</v>
      </c>
      <c r="D15" s="19" t="s">
        <v>21</v>
      </c>
      <c r="E15" s="22" t="s">
        <v>22</v>
      </c>
      <c r="F15" s="16">
        <v>300</v>
      </c>
      <c r="G15" s="21">
        <v>180</v>
      </c>
      <c r="H15" s="37">
        <f>G15*F15</f>
        <v>54000</v>
      </c>
    </row>
    <row r="16" spans="1:8" ht="15.95" customHeight="1">
      <c r="A16" s="16" t="s">
        <v>25</v>
      </c>
      <c r="B16" s="17">
        <v>135662</v>
      </c>
      <c r="C16" s="18">
        <v>6403400000</v>
      </c>
      <c r="D16" s="19" t="s">
        <v>21</v>
      </c>
      <c r="E16" s="22" t="s">
        <v>22</v>
      </c>
      <c r="F16" s="16">
        <v>300</v>
      </c>
      <c r="G16" s="21">
        <v>190</v>
      </c>
      <c r="H16" s="37">
        <f>G16*F16</f>
        <v>57000</v>
      </c>
    </row>
    <row r="17" spans="1:11" ht="15.95" customHeight="1">
      <c r="A17" s="23"/>
      <c r="B17" s="23"/>
      <c r="C17" s="24"/>
      <c r="D17" s="25"/>
      <c r="E17" s="26"/>
      <c r="F17" s="27"/>
      <c r="G17" s="28"/>
      <c r="H17" s="28"/>
    </row>
    <row r="18" spans="1:11" ht="18" customHeight="1">
      <c r="A18" s="29" t="s">
        <v>26</v>
      </c>
      <c r="B18" s="29"/>
      <c r="C18" s="30"/>
      <c r="D18" s="31"/>
      <c r="E18" s="31"/>
      <c r="F18" s="29">
        <f>SUM(F13:F17)</f>
        <v>1200</v>
      </c>
      <c r="G18" s="32"/>
      <c r="H18" s="38">
        <f>SUM(H13:H17)</f>
        <v>207000</v>
      </c>
    </row>
    <row r="21" spans="1:11">
      <c r="A21" s="33" t="s">
        <v>32</v>
      </c>
      <c r="B21" s="34"/>
      <c r="C21" s="35"/>
      <c r="D21" s="35"/>
      <c r="E21" s="35"/>
      <c r="F21" s="35"/>
      <c r="G21" s="35"/>
      <c r="H21" s="36"/>
    </row>
    <row r="22" spans="1:11" hidden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</row>
    <row r="23" spans="1:11" hidden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</row>
    <row r="24" spans="1:11" hidden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</row>
    <row r="25" spans="1:11" hidden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</row>
  </sheetData>
  <mergeCells count="7">
    <mergeCell ref="A8:E8"/>
    <mergeCell ref="A22:K25"/>
    <mergeCell ref="A1:H1"/>
    <mergeCell ref="A2:H2"/>
    <mergeCell ref="A3:H3"/>
    <mergeCell ref="A4:H4"/>
    <mergeCell ref="A5:E5"/>
  </mergeCells>
  <pageMargins left="0.39305555555555599" right="0.39305555555555599" top="0.59027777777777801" bottom="0.59027777777777801" header="0.31458333333333299" footer="0.314583333333332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RDZharinovK</cp:lastModifiedBy>
  <cp:lastPrinted>2016-08-02T09:19:00Z</cp:lastPrinted>
  <dcterms:created xsi:type="dcterms:W3CDTF">2016-07-11T01:36:00Z</dcterms:created>
  <dcterms:modified xsi:type="dcterms:W3CDTF">2026-03-18T08:05:44Z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1C4A37E0D8564A88A2C7E0387C05DBD0</vt:lpwstr>
  </property>
</Properties>
</file>