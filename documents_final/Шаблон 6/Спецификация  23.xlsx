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Элемент (Союз)\STALMOT\05833\Для Декларанта\"/>
    </mc:Choice>
  </mc:AlternateContent>
  <bookViews>
    <workbookView xWindow="0" yWindow="0" windowWidth="28800" windowHeight="11865"/>
  </bookViews>
  <sheets>
    <sheet name="Лист2" sheetId="1" r:id="rId1"/>
  </sheets>
  <externalReferences>
    <externalReference r:id="rId2"/>
    <externalReference r:id="rId3"/>
    <externalReference r:id="rId4"/>
    <externalReference r:id="rId5"/>
  </externalReferences>
  <definedNames>
    <definedName name="_FOR1">#REF!+#REF!</definedName>
    <definedName name="_xlnm._FilterDatabase" localSheetId="0" hidden="1">Лист2!$A$6:$P$26</definedName>
    <definedName name="a">[1]Расчет!#REF!</definedName>
    <definedName name="AAAA">#REF!</definedName>
    <definedName name="Betrag">[2]RUSSWERE!#REF!</definedName>
    <definedName name="Data">#REF!</definedName>
    <definedName name="DclHData">#REF!</definedName>
    <definedName name="Gesamt">#REF!</definedName>
    <definedName name="MARIA">[2]RUSSWERE!#REF!</definedName>
    <definedName name="Mehrwertsteuer">[2]RUSSWERE!#REF!</definedName>
    <definedName name="mydet">#REF!</definedName>
    <definedName name="nomer_invoice">#REF!</definedName>
    <definedName name="Z_16AF4AE3_7F7B_11D6_90F3_000021440C3F_.wvu.Cols" hidden="1">#REF!</definedName>
    <definedName name="Z_16AF4AE3_7F7B_11D6_90F3_000021440C3F_.wvu.FilterData" hidden="1">#REF!</definedName>
    <definedName name="Zwischensumme">[2]RUSSWERE!#REF!</definedName>
    <definedName name="акты">#REF!</definedName>
    <definedName name="_xlnm.Database">#REF!</definedName>
    <definedName name="Валюта_инвойса">#REF!</definedName>
    <definedName name="Вес_гр">#REF!</definedName>
    <definedName name="ДанныеПоверх">[3]Общий!$E$2:$E$66</definedName>
    <definedName name="декл">#REF!</definedName>
    <definedName name="зона">'[4]для терм'!$A$36:$J$37,'[4]для терм'!$A$34:$J$34,'[4]для терм'!$A$27:$J$31,'[4]для терм'!$A$22:$J$23,'[4]для терм'!$A$20:$J$20,'[4]для терм'!$A$18:$J$18,'[4]для терм'!$A$16:$J$16,'[4]для терм'!$A$10:$J$13,'[4]для терм'!$A$8:$J$8,'[4]для терм'!$A$6:$J$6,'[4]для терм'!$A$4:$J$4,'[4]для терм'!$A$2:$J$2,'[4]для терм'!$A$1:$J$1</definedName>
    <definedName name="зона2">#REF!,#REF!,#REF!,#REF!,#REF!,#REF!,#REF!,#REF!,#REF!,#REF!,#REF!,#REF!,#REF!,#REF!,#REF!,#REF!,#REF!,#REF!,#REF!,#REF!,#REF!,#REF!,#REF!,#REF!,#REF!,#REF!,#REF!,#REF!,#REF!,#REF!,#REF!</definedName>
    <definedName name="Интервал">#REF!</definedName>
    <definedName name="кк">#REF!</definedName>
    <definedName name="Кор_гр">#REF!</definedName>
    <definedName name="Курсы">#REF!</definedName>
    <definedName name="Номер_TIR">#REF!</definedName>
    <definedName name="номер_инвойса">#REF!</definedName>
    <definedName name="_xlnm.Print_Area" localSheetId="0">Лист2!$A$1:$P$33</definedName>
    <definedName name="ОООО">#REF!</definedName>
    <definedName name="Реквизиты">#REF!</definedName>
    <definedName name="Сертифы">#REF!</definedName>
    <definedName name="строки">#REF!,#REF!,#REF!,#REF!,#REF!</definedName>
    <definedName name="Сумма">#REF!</definedName>
    <definedName name="штучки">#REF!</definedName>
    <definedName name="Экспедиции">#REF!</definedName>
  </definedNames>
  <calcPr calcId="162913" concurrentCalc="0"/>
</workbook>
</file>

<file path=xl/calcChain.xml><?xml version="1.0" encoding="utf-8"?>
<calcChain xmlns="http://schemas.openxmlformats.org/spreadsheetml/2006/main">
  <c r="K15" i="1" l="1"/>
  <c r="K14" i="1"/>
  <c r="K8" i="1"/>
  <c r="K7" i="1"/>
  <c r="K9" i="1"/>
  <c r="K10" i="1"/>
  <c r="K11" i="1"/>
  <c r="K12" i="1"/>
  <c r="K13" i="1"/>
  <c r="K16" i="1"/>
  <c r="K17" i="1"/>
  <c r="H17" i="1"/>
  <c r="L17" i="1"/>
  <c r="M17" i="1"/>
  <c r="P17" i="1"/>
  <c r="J17" i="1"/>
</calcChain>
</file>

<file path=xl/sharedStrings.xml><?xml version="1.0" encoding="utf-8"?>
<sst xmlns="http://schemas.openxmlformats.org/spreadsheetml/2006/main" count="122" uniqueCount="65">
  <si>
    <t>Art. //Артикул</t>
  </si>
  <si>
    <t xml:space="preserve">Description// Описание </t>
  </si>
  <si>
    <t>Brand// Марка</t>
  </si>
  <si>
    <t>Producer // Производитель</t>
  </si>
  <si>
    <t>Country of origin / Страна происхождения</t>
  </si>
  <si>
    <t>CU Customs tariff//Тамож. Код ТС</t>
  </si>
  <si>
    <t>Unit// Eд. Изм</t>
  </si>
  <si>
    <t xml:space="preserve">Quantity Units// Кол-во </t>
  </si>
  <si>
    <t>нетт за шт</t>
  </si>
  <si>
    <t>NW, kgs// Вес Нетто, КГ</t>
  </si>
  <si>
    <t>Кол-во упаковок</t>
  </si>
  <si>
    <t>№№ паллет</t>
  </si>
  <si>
    <t>Price for UNIT, Euro// Цена за ед. , евро</t>
  </si>
  <si>
    <t>Total value, EURO// стоимость, евро</t>
  </si>
  <si>
    <t>Stalmot &amp; Wolmet</t>
  </si>
  <si>
    <t>ИТОГО:</t>
  </si>
  <si>
    <t>Terms of gelivery//Условия Поставки EXW Nidzica, Poland</t>
  </si>
  <si>
    <t>Terms of payment//Условия оплаты: 100% prepayment before delivery //100% предоплата до отгрузки</t>
  </si>
  <si>
    <t>Agreed//Согласовано:</t>
  </si>
  <si>
    <t>Seller//Продавец:</t>
  </si>
  <si>
    <t>Buyer//Покупатель:</t>
  </si>
  <si>
    <t>GW w/o pallet weight, kgs // Вес Брутто без паллетт, КГ</t>
  </si>
  <si>
    <t>PL</t>
  </si>
  <si>
    <t>EUR</t>
  </si>
  <si>
    <t>Stalmot &amp; Wolmet Sp. z o.o.</t>
  </si>
  <si>
    <t>TO 002-4</t>
  </si>
  <si>
    <t>Пластмассовый защитный короб для ограждения пружины L=510 мм</t>
  </si>
  <si>
    <t>упаковка</t>
  </si>
  <si>
    <t xml:space="preserve"> ООО «Элемент»
Адрес: 143050, Московская обл., Одинцовский р-н, д.Малые Вяземы, Петровский пр-д, вл.2, стр.2
ИНН 5032293214 
АО "Альфа-Банк", 
Р/счет в ЕВРО № 40702978901300003840
 SWIFT: ALFARUMM
Генеральный директор                                                        Д.В.Чесноков</t>
  </si>
  <si>
    <t>коробка</t>
  </si>
  <si>
    <t>SP 085-28</t>
  </si>
  <si>
    <t>BG 306-8</t>
  </si>
  <si>
    <t>CH 031-1</t>
  </si>
  <si>
    <t>MK 082-A-8</t>
  </si>
  <si>
    <t>PB 031-5</t>
  </si>
  <si>
    <t>SP 420-A-8</t>
  </si>
  <si>
    <t>SP 420-B-8</t>
  </si>
  <si>
    <t>TS 232-X-5</t>
  </si>
  <si>
    <t>Опора мебельная металлическая (основание ножки кресла ) круглая D=580 мм</t>
  </si>
  <si>
    <t>Опора мебельная (ножка дивана) L = 910 мм, H = 130 мм, W = 50 мм, T = 6 мм</t>
  </si>
  <si>
    <t>Петля мебельная рояльного типа</t>
  </si>
  <si>
    <t>Газ-лифт с поворотной площадкой для крепления подлокотника дивана</t>
  </si>
  <si>
    <t>Механизм поворота спального места на 90 градусов в горизонтальной плоскости для углового дивана</t>
  </si>
  <si>
    <t>Опора вращающегося кресла с поворотной площадкой, высота 110 мм</t>
  </si>
  <si>
    <t>Опора вращающегося кресла с поворотной площадкой, высота 170 мм</t>
  </si>
  <si>
    <t>Подпятник пластиковый мебельный</t>
  </si>
  <si>
    <t>szt/шт</t>
  </si>
  <si>
    <t>set/компл</t>
  </si>
  <si>
    <t>палл 1, 2</t>
  </si>
  <si>
    <t>палл 12</t>
  </si>
  <si>
    <t>часть палл 9</t>
  </si>
  <si>
    <t>палл 10 часть</t>
  </si>
  <si>
    <t>пал11 часть</t>
  </si>
  <si>
    <t>палл 3, 4, 5, 6</t>
  </si>
  <si>
    <t>9 часть</t>
  </si>
  <si>
    <t>палл 7, 8, 9 часть</t>
  </si>
  <si>
    <t>Спецификация № 23 от 17/12/2021 к Контракту № STL-1EL от 24.05.2018</t>
  </si>
  <si>
    <t>Specification # 23  from 17/12/2021 to the Contract # STL-1EL dated 24.05.2018</t>
  </si>
  <si>
    <t>Packages quantity//Количество упаковок: 1216</t>
  </si>
  <si>
    <t>Pallets quantity//Количество паллет: 12 паллет</t>
  </si>
  <si>
    <t>Date of delivery//Срок поставки: not later 23/12/2021//не позднее 23/12/2021</t>
  </si>
  <si>
    <t>Stalmot &amp; Wolmet Spolka z organiczo
Sienkiewicza 2
13-100 Nidzica
phone: +4889 6256690
VAT ID: 7393859124
Number of bank account:
Santander Bank Polska Spolka 
Akcyjna-Oddziat Centralny
09109025900000000131770649
Менеджер ___________________Sylwia Figurska</t>
  </si>
  <si>
    <t>GW with pallet weight, kgs // Вес Брутто с весом паллетт, КГ</t>
  </si>
  <si>
    <t xml:space="preserve">Total weight with pallets // Общий вес с паллетами: 5216 kgs </t>
  </si>
  <si>
    <t xml:space="preserve">Pallets weight//Вес паллет: 103,32 kgs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</si>
</sst>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0.000"/>
    <numFmt numFmtId="168" formatCode="_-[$€-2]\ * #,##0.00_-;\-[$€-2]\ * #,##0.00_-;_-[$€-2]\ * &quot;-&quot;??_-"/>
    <numFmt numFmtId="169" formatCode="#,##0&quot;.&quot;"/>
    <numFmt numFmtId="170" formatCode="_-* #,##0\ &quot;р.&quot;_-;\-* #,##0\ &quot;р.&quot;_-;_-* &quot;-&quot;\ &quot;р.&quot;_-;_-@_-"/>
    <numFmt numFmtId="171" formatCode="0.0000"/>
  </numFmts>
  <fonts count="3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color rgb="FFFF0000"/>
      <name val="Arial Cyr"/>
      <charset val="204"/>
    </font>
    <font>
      <b/>
      <sz val="10"/>
      <name val="Arial Cyr"/>
      <charset val="204"/>
    </font>
    <font>
      <sz val="10"/>
      <color rgb="FFFF0000"/>
      <name val="Arial Cyr"/>
      <charset val="204"/>
    </font>
    <font>
      <sz val="10"/>
      <name val="Helv"/>
    </font>
    <font>
      <sz val="10"/>
      <name val="Helv"/>
      <family val="2"/>
    </font>
    <font>
      <sz val="10"/>
      <color indexed="8"/>
      <name val="MS Sans Serif"/>
      <family val="2"/>
      <charset val="204"/>
    </font>
    <font>
      <sz val="10"/>
      <name val="Helv"/>
      <charset val="204"/>
    </font>
    <font>
      <b/>
      <sz val="11"/>
      <name val="Times New Roman CYR"/>
      <family val="1"/>
      <charset val="204"/>
    </font>
    <font>
      <sz val="8"/>
      <name val="Helv"/>
    </font>
    <font>
      <sz val="10"/>
      <name val="Arial CE"/>
      <charset val="238"/>
    </font>
    <font>
      <b/>
      <sz val="10"/>
      <name val="Arial"/>
      <family val="2"/>
    </font>
    <font>
      <b/>
      <sz val="10"/>
      <name val="Arial Cyr"/>
      <family val="2"/>
      <charset val="204"/>
    </font>
    <font>
      <sz val="10"/>
      <name val="Arial Cy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12"/>
      <color indexed="8"/>
      <name val="굴림"/>
      <family val="3"/>
      <charset val="129"/>
    </font>
    <font>
      <sz val="12"/>
      <name val="新細明體"/>
      <family val="1"/>
      <charset val="136"/>
    </font>
    <font>
      <sz val="12"/>
      <name val="宋体"/>
      <charset val="134"/>
    </font>
    <font>
      <sz val="10"/>
      <name val="ＭＳ 明朝"/>
      <family val="1"/>
      <charset val="128"/>
    </font>
    <font>
      <sz val="10"/>
      <name val="Arial"/>
      <family val="2"/>
      <charset val="238"/>
    </font>
    <font>
      <sz val="10"/>
      <color theme="1"/>
      <name val="Arial Cyr"/>
      <charset val="204"/>
    </font>
    <font>
      <b/>
      <sz val="10"/>
      <color theme="1"/>
      <name val="Arial Cyr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6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2" fillId="0" borderId="0"/>
    <xf numFmtId="0" fontId="3" fillId="0" borderId="0"/>
    <xf numFmtId="0" fontId="10" fillId="0" borderId="0"/>
    <xf numFmtId="0" fontId="3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3" fillId="0" borderId="6" quotePrefix="1">
      <alignment horizontal="justify" vertical="justify" textRotation="127" wrapText="1" justifyLastLine="1"/>
      <protection hidden="1"/>
    </xf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4" fillId="0" borderId="0">
      <alignment horizontal="left" wrapText="1"/>
    </xf>
    <xf numFmtId="2" fontId="6" fillId="2" borderId="0"/>
    <xf numFmtId="0" fontId="2" fillId="0" borderId="0"/>
    <xf numFmtId="0" fontId="15" fillId="0" borderId="0"/>
    <xf numFmtId="0" fontId="16" fillId="0" borderId="0"/>
    <xf numFmtId="0" fontId="3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right" wrapText="1"/>
    </xf>
    <xf numFmtId="39" fontId="17" fillId="0" borderId="0" applyFont="0" applyFill="0" applyBorder="0" applyAlignment="0" applyProtection="0">
      <alignment horizontal="center"/>
    </xf>
    <xf numFmtId="0" fontId="13" fillId="0" borderId="0"/>
    <xf numFmtId="0" fontId="18" fillId="3" borderId="3">
      <alignment horizontal="center" vertical="center" wrapText="1"/>
    </xf>
    <xf numFmtId="4" fontId="2" fillId="0" borderId="3">
      <alignment horizontal="right" vertical="center"/>
    </xf>
    <xf numFmtId="3" fontId="2" fillId="0" borderId="3">
      <alignment vertical="center"/>
    </xf>
    <xf numFmtId="169" fontId="2" fillId="0" borderId="3">
      <alignment horizontal="right" vertical="center"/>
    </xf>
    <xf numFmtId="49" fontId="2" fillId="0" borderId="3">
      <alignment horizontal="left" vertical="center" wrapText="1"/>
    </xf>
    <xf numFmtId="4" fontId="18" fillId="3" borderId="3">
      <alignment vertical="center"/>
    </xf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4" fillId="0" borderId="0"/>
    <xf numFmtId="0" fontId="20" fillId="0" borderId="0"/>
    <xf numFmtId="0" fontId="21" fillId="0" borderId="0">
      <alignment vertical="center"/>
    </xf>
    <xf numFmtId="0" fontId="2" fillId="0" borderId="0"/>
    <xf numFmtId="0" fontId="4" fillId="0" borderId="0"/>
    <xf numFmtId="0" fontId="10" fillId="0" borderId="0"/>
    <xf numFmtId="0" fontId="22" fillId="0" borderId="0"/>
    <xf numFmtId="0" fontId="23" fillId="0" borderId="0"/>
    <xf numFmtId="0" fontId="24" fillId="0" borderId="0"/>
    <xf numFmtId="3" fontId="25" fillId="0" borderId="0"/>
    <xf numFmtId="0" fontId="1" fillId="0" borderId="0"/>
    <xf numFmtId="0" fontId="26" fillId="0" borderId="0"/>
  </cellStyleXfs>
  <cellXfs count="64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ont="1" applyFill="1"/>
    <xf numFmtId="167" fontId="0" fillId="0" borderId="0" xfId="0" applyNumberFormat="1" applyFont="1" applyFill="1"/>
    <xf numFmtId="2" fontId="0" fillId="0" borderId="0" xfId="0" applyNumberFormat="1" applyFont="1" applyFill="1"/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167" fontId="3" fillId="0" borderId="2" xfId="0" applyNumberFormat="1" applyFont="1" applyFill="1" applyBorder="1" applyAlignment="1">
      <alignment vertical="center" wrapText="1"/>
    </xf>
    <xf numFmtId="2" fontId="3" fillId="0" borderId="2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7" fillId="0" borderId="0" xfId="0" applyFont="1" applyFill="1" applyAlignment="1">
      <alignment vertical="top" wrapText="1"/>
    </xf>
    <xf numFmtId="167" fontId="7" fillId="0" borderId="0" xfId="0" applyNumberFormat="1" applyFont="1" applyFill="1" applyAlignment="1">
      <alignment vertical="top" wrapText="1"/>
    </xf>
    <xf numFmtId="2" fontId="8" fillId="0" borderId="0" xfId="0" applyNumberFormat="1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167" fontId="7" fillId="0" borderId="0" xfId="0" applyNumberFormat="1" applyFont="1" applyFill="1" applyBorder="1"/>
    <xf numFmtId="2" fontId="9" fillId="0" borderId="0" xfId="0" applyNumberFormat="1" applyFont="1" applyFill="1" applyBorder="1"/>
    <xf numFmtId="2" fontId="7" fillId="0" borderId="0" xfId="0" applyNumberFormat="1" applyFont="1" applyFill="1" applyBorder="1"/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9" fillId="0" borderId="0" xfId="0" applyFont="1" applyFill="1"/>
    <xf numFmtId="167" fontId="9" fillId="0" borderId="0" xfId="0" applyNumberFormat="1" applyFont="1" applyFill="1"/>
    <xf numFmtId="2" fontId="9" fillId="0" borderId="0" xfId="0" applyNumberFormat="1" applyFont="1" applyFill="1"/>
    <xf numFmtId="10" fontId="0" fillId="0" borderId="0" xfId="0" applyNumberFormat="1" applyFont="1" applyFill="1"/>
    <xf numFmtId="167" fontId="0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horizontal="left" vertical="top" wrapText="1"/>
    </xf>
    <xf numFmtId="14" fontId="0" fillId="0" borderId="0" xfId="0" applyNumberFormat="1" applyFill="1" applyAlignment="1">
      <alignment horizontal="left" vertical="top" wrapText="1"/>
    </xf>
    <xf numFmtId="0" fontId="27" fillId="0" borderId="0" xfId="0" applyFont="1" applyFill="1" applyAlignment="1">
      <alignment horizontal="left"/>
    </xf>
    <xf numFmtId="0" fontId="0" fillId="0" borderId="0" xfId="0" applyFill="1" applyAlignment="1">
      <alignment vertical="top" wrapText="1"/>
    </xf>
    <xf numFmtId="0" fontId="0" fillId="0" borderId="0" xfId="0" applyFont="1" applyFill="1" applyAlignment="1"/>
    <xf numFmtId="0" fontId="27" fillId="0" borderId="0" xfId="0" applyFont="1" applyFill="1" applyAlignment="1">
      <alignment horizontal="left" vertical="top" wrapText="1"/>
    </xf>
    <xf numFmtId="0" fontId="28" fillId="0" borderId="0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wrapText="1"/>
    </xf>
    <xf numFmtId="2" fontId="3" fillId="0" borderId="3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71" fontId="3" fillId="0" borderId="3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wrapText="1"/>
    </xf>
    <xf numFmtId="0" fontId="29" fillId="0" borderId="0" xfId="0" applyFont="1" applyFill="1" applyBorder="1" applyAlignment="1">
      <alignment horizontal="left"/>
    </xf>
    <xf numFmtId="2" fontId="4" fillId="0" borderId="7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left" vertical="top" wrapText="1"/>
    </xf>
  </cellXfs>
  <cellStyles count="164">
    <cellStyle name="__0_Расчет_Инвойс" xfId="1"/>
    <cellStyle name="__1_Воортекс" xfId="2"/>
    <cellStyle name="__1_Гэйбл" xfId="3"/>
    <cellStyle name="__1_Илот" xfId="4"/>
    <cellStyle name="__1_КУГУАР_бланк-v2" xfId="5"/>
    <cellStyle name="__1_ОКАПИ_бланк" xfId="6"/>
    <cellStyle name="__1_ЭРВИД_бланк-v2" xfId="7"/>
    <cellStyle name="_++06-11-03 T- I- M-1057 W-19099 A-855  LAVER 643-021-2001 ЦАТ" xfId="8"/>
    <cellStyle name="_+02122003_092_inv_tdi_isx" xfId="9"/>
    <cellStyle name="_+14012004_094_inv_tdi_isx" xfId="10"/>
    <cellStyle name="_+17062002_536_inv_comf_stef" xfId="11"/>
    <cellStyle name="_+25022004_652_inv_tdi_isx" xfId="12"/>
    <cellStyle name="_+28112003_006_inv_tdi_isx" xfId="13"/>
    <cellStyle name="_+31032004_093_inv_tdi_icx" xfId="14"/>
    <cellStyle name="_+BY943_25.06" xfId="15"/>
    <cellStyle name="_+CE5270-9695CA" xfId="16"/>
    <cellStyle name="_+inv_383_isx" xfId="17"/>
    <cellStyle name="_+inv_387_isx" xfId="18"/>
    <cellStyle name="_+inv_393_isx" xfId="19"/>
    <cellStyle name="_+inv_400_isx" xfId="20"/>
    <cellStyle name="_+Копия 27112003_127_inv_tdi_isx" xfId="21"/>
    <cellStyle name="_+предвар_EZZ554_04.02.04" xfId="22"/>
    <cellStyle name="_+Предвар_JEZ902_09.02" xfId="23"/>
    <cellStyle name="_+Предвар_JEZ903_10.11" xfId="24"/>
    <cellStyle name="_+Предвар_JEZ903_10.11final" xfId="25"/>
    <cellStyle name="_+Предвар_RBY943_11.08" xfId="26"/>
    <cellStyle name="_+Предвар_YCS-983_11.03.04" xfId="27"/>
    <cellStyle name="_14-10-02 T- I-034-N-02-101402 M-1356 W-16000" xfId="28"/>
    <cellStyle name="_16D06D06" xfId="29"/>
    <cellStyle name="_173C7113" xfId="30"/>
    <cellStyle name="_178DB843" xfId="31"/>
    <cellStyle name="_17DDC2C7" xfId="32"/>
    <cellStyle name="_19,071" xfId="33"/>
    <cellStyle name="_1B77D98C" xfId="34"/>
    <cellStyle name="_229621" xfId="35"/>
    <cellStyle name="_345036CE" xfId="36"/>
    <cellStyle name="_35477A17" xfId="37"/>
    <cellStyle name="_39160E13" xfId="38"/>
    <cellStyle name="_394B59E" xfId="39"/>
    <cellStyle name="_3A968DD5" xfId="40"/>
    <cellStyle name="_4310D52D" xfId="41"/>
    <cellStyle name="_44B517AD" xfId="42"/>
    <cellStyle name="_49" xfId="43"/>
    <cellStyle name="_53B26ADA" xfId="44"/>
    <cellStyle name="_544F506E" xfId="45"/>
    <cellStyle name="_545EAC0A" xfId="46"/>
    <cellStyle name="_57F1D9FC" xfId="47"/>
    <cellStyle name="_5DBFED1E" xfId="48"/>
    <cellStyle name="_5FE16980" xfId="49"/>
    <cellStyle name="_65AF39C" xfId="50"/>
    <cellStyle name="_6CFA0E2C" xfId="51"/>
    <cellStyle name="_6D55636A" xfId="52"/>
    <cellStyle name="_70500D0B" xfId="53"/>
    <cellStyle name="_749EE4A2" xfId="54"/>
    <cellStyle name="_7800607-10" xfId="55"/>
    <cellStyle name="_784-220104табл+" xfId="56"/>
    <cellStyle name="_7A8DFBEA" xfId="57"/>
    <cellStyle name="_7B122FE" xfId="58"/>
    <cellStyle name="_9543" xfId="59"/>
    <cellStyle name="_98581" xfId="60"/>
    <cellStyle name="_99822" xfId="61"/>
    <cellStyle name="_AMI_6May" xfId="62"/>
    <cellStyle name="_carnet469" xfId="63"/>
    <cellStyle name="_carnet7957" xfId="64"/>
    <cellStyle name="_docs запчасти" xfId="65"/>
    <cellStyle name="_Documents tools 28,10" xfId="66"/>
    <cellStyle name="_Documents tools 28,10-29" xfId="67"/>
    <cellStyle name="_Domod.8 658" xfId="68"/>
    <cellStyle name="_DVD" xfId="69"/>
    <cellStyle name="_E0A15D7" xfId="70"/>
    <cellStyle name="_FC9985" xfId="71"/>
    <cellStyle name="_INV_030-1_ispr" xfId="72"/>
    <cellStyle name="_inv_171_isx" xfId="73"/>
    <cellStyle name="_INV_373_ispr" xfId="74"/>
    <cellStyle name="_INV_449-1_ispr" xfId="75"/>
    <cellStyle name="_INV_COMF_Byk_3101_1i" xfId="76"/>
    <cellStyle name="_invoice 960" xfId="77"/>
    <cellStyle name="_L 11 ОТВЕТ2" xfId="78"/>
    <cellStyle name="_L 15 Лене на просчет" xfId="79"/>
    <cellStyle name="_L 23 на просчет" xfId="80"/>
    <cellStyle name="_new 25-11-03 T- I- M- W- A- LAVER 643-021-2001 ЦАТ" xfId="81"/>
    <cellStyle name="_pack 960" xfId="82"/>
    <cellStyle name="_qtek на расчет" xfId="83"/>
    <cellStyle name="_setka_244_01_july_Vantaa" xfId="84"/>
    <cellStyle name="_T-6974 КОМПЫ" xfId="85"/>
    <cellStyle name="_tab" xfId="86"/>
    <cellStyle name="_truck 784 codes-23" xfId="87"/>
    <cellStyle name="_UUUUUUUUUUUUUUUUU" xfId="88"/>
    <cellStyle name="_АВТОЗАПЧАСТИ 2" xfId="89"/>
    <cellStyle name="_Автозапчасти-БОГДАНОВ 1534" xfId="90"/>
    <cellStyle name="_Германия 8828" xfId="91"/>
    <cellStyle name="_Германия-АВТОЗАПЧАСТИ 26.07.02.(2152)" xfId="92"/>
    <cellStyle name="_для инвойса L 14 NEW" xfId="93"/>
    <cellStyle name="_ДОП IN_L 21" xfId="94"/>
    <cellStyle name="_Драглайн" xfId="95"/>
    <cellStyle name="_Загрузка 2 100 кл-08-серт1410-1168 100кл" xfId="96"/>
    <cellStyle name="_Загрузка 3 100 кл-16 1610-1171 100кл" xfId="97"/>
    <cellStyle name="_заявка запчасти 28-08-02 от Тети" xfId="98"/>
    <cellStyle name="_Илирия" xfId="99"/>
    <cellStyle name="_Илирия1" xfId="100"/>
    <cellStyle name="_испр +предвар_EZZ554_29.01.04_1" xfId="101"/>
    <cellStyle name="_йМХЦЮ5" xfId="102"/>
    <cellStyle name="_карнет469" xfId="103"/>
    <cellStyle name="_Книга1" xfId="104"/>
    <cellStyle name="_Книга14" xfId="105"/>
    <cellStyle name="_Книга2" xfId="106"/>
    <cellStyle name="_Лист1" xfId="107"/>
    <cellStyle name="_НА 20,03,02" xfId="108"/>
    <cellStyle name="_На проверку автозапчасти 2152" xfId="109"/>
    <cellStyle name="_На просчёт Кириллу L 17" xfId="110"/>
    <cellStyle name="_На просчёт Кириллу L 26" xfId="111"/>
    <cellStyle name="_На расчёт Кирилла  L 27" xfId="112"/>
    <cellStyle name="_находка_порт" xfId="113"/>
    <cellStyle name="_наш расчет" xfId="114"/>
    <cellStyle name="_НОВЫЕ ЗАПЧАСТ" xfId="115"/>
    <cellStyle name="_онисание" xfId="116"/>
    <cellStyle name="_перевод пакинга" xfId="117"/>
    <cellStyle name="_план192" xfId="118"/>
    <cellStyle name="_предвар_EZZ554_04.02.04_final" xfId="119"/>
    <cellStyle name="_Предвар_YCS-983_11.03.04" xfId="120"/>
    <cellStyle name="_расчет ЗАПЧАСТИ 10 09 2002" xfId="121"/>
    <cellStyle name="_Расчет Цены честный" xfId="122"/>
    <cellStyle name="_Спецификация-РЭМ" xfId="123"/>
    <cellStyle name="_телефоны-09-20" xfId="124"/>
    <cellStyle name="_телефоны-16" xfId="125"/>
    <cellStyle name="_телефоны-28-23" xfId="126"/>
    <cellStyle name="_Цены4.04" xfId="127"/>
    <cellStyle name="C:\Data\MS\Excel" xfId="128"/>
    <cellStyle name="Dezimal_Sheet2" xfId="129"/>
    <cellStyle name="Euro" xfId="130"/>
    <cellStyle name="Goods" xfId="131"/>
    <cellStyle name="iWeA_Zh-5.xls" xfId="132"/>
    <cellStyle name="Normal 2" xfId="133"/>
    <cellStyle name="Normal1" xfId="134"/>
    <cellStyle name="Normale_STANY" xfId="135"/>
    <cellStyle name="SFALeftAlign" xfId="136"/>
    <cellStyle name="SFARightAlign" xfId="137"/>
    <cellStyle name="SFAWholeNumber_PO#2746a" xfId="138"/>
    <cellStyle name="Standard_B-EBG95" xfId="139"/>
    <cellStyle name="VedColumnHeader01" xfId="140"/>
    <cellStyle name="VedTblDbl" xfId="141"/>
    <cellStyle name="VedTblInt" xfId="142"/>
    <cellStyle name="VedTblNo" xfId="143"/>
    <cellStyle name="VedTblTxt" xfId="144"/>
    <cellStyle name="VedTotDbl" xfId="145"/>
    <cellStyle name="Währung [0]_Sheet2" xfId="146"/>
    <cellStyle name="Währung_Sheet2" xfId="147"/>
    <cellStyle name="Де?ежный [0]_23431675 (2)_28511014 свх" xfId="148"/>
    <cellStyle name="Деҽежный [0]_23431675 (2)_28511014 свх" xfId="149"/>
    <cellStyle name="Денежный 2" xfId="150"/>
    <cellStyle name="Обычный" xfId="0" builtinId="0"/>
    <cellStyle name="Обычный 2" xfId="151"/>
    <cellStyle name="Обычный 2 3" xfId="152"/>
    <cellStyle name="Обычный 3" xfId="153"/>
    <cellStyle name="Обычный 3 2" xfId="163"/>
    <cellStyle name="Обычный 4" xfId="154"/>
    <cellStyle name="Обычный 4 2" xfId="162"/>
    <cellStyle name="Обычный 5" xfId="155"/>
    <cellStyle name="Стиль 1" xfId="156"/>
    <cellStyle name="Стиль 1 3" xfId="157"/>
    <cellStyle name="표준_BUYER" xfId="158"/>
    <cellStyle name="一般_Accounts and Statistics" xfId="159"/>
    <cellStyle name="常规_07 заказ" xfId="160"/>
    <cellStyle name="標準_新新価格体系 実行ベース" xfId="16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496191</xdr:colOff>
      <xdr:row>28</xdr:row>
      <xdr:rowOff>1679145</xdr:rowOff>
    </xdr:from>
    <xdr:to>
      <xdr:col>14</xdr:col>
      <xdr:colOff>718428</xdr:colOff>
      <xdr:row>28</xdr:row>
      <xdr:rowOff>1680446</xdr:rowOff>
    </xdr:to>
    <xdr:grpSp>
      <xdr:nvGrpSpPr>
        <xdr:cNvPr id="1029" name="Group 5"/>
        <xdr:cNvGrpSpPr>
          <a:grpSpLocks/>
        </xdr:cNvGrpSpPr>
      </xdr:nvGrpSpPr>
      <xdr:grpSpPr bwMode="auto">
        <a:xfrm>
          <a:off x="12414865" y="11916449"/>
          <a:ext cx="1820780" cy="1301"/>
          <a:chOff x="6578" y="1257"/>
          <a:chExt cx="2861" cy="2"/>
        </a:xfrm>
      </xdr:grpSpPr>
      <xdr:sp macro="" textlink="">
        <xdr:nvSpPr>
          <xdr:cNvPr id="1030" name="Freeform 6"/>
          <xdr:cNvSpPr>
            <a:spLocks/>
          </xdr:cNvSpPr>
        </xdr:nvSpPr>
        <xdr:spPr bwMode="auto">
          <a:xfrm>
            <a:off x="6578" y="1257"/>
            <a:ext cx="2861" cy="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2861" y="0"/>
              </a:cxn>
            </a:cxnLst>
            <a:rect l="0" t="0" r="r" b="b"/>
            <a:pathLst>
              <a:path w="2861">
                <a:moveTo>
                  <a:pt x="0" y="0"/>
                </a:moveTo>
                <a:lnTo>
                  <a:pt x="2861" y="0"/>
                </a:lnTo>
              </a:path>
            </a:pathLst>
          </a:custGeom>
          <a:noFill/>
          <a:ln w="5608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13</xdr:col>
      <xdr:colOff>132522</xdr:colOff>
      <xdr:row>28</xdr:row>
      <xdr:rowOff>670891</xdr:rowOff>
    </xdr:from>
    <xdr:to>
      <xdr:col>14</xdr:col>
      <xdr:colOff>630244</xdr:colOff>
      <xdr:row>30</xdr:row>
      <xdr:rowOff>100909</xdr:rowOff>
    </xdr:to>
    <xdr:pic>
      <xdr:nvPicPr>
        <xdr:cNvPr id="5" name="Рисунок 4" descr="Печать Элемент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43522" y="8970065"/>
          <a:ext cx="1441939" cy="1417844"/>
        </a:xfrm>
        <a:prstGeom prst="rect">
          <a:avLst/>
        </a:prstGeom>
      </xdr:spPr>
    </xdr:pic>
    <xdr:clientData/>
  </xdr:twoCellAnchor>
  <xdr:twoCellAnchor editAs="oneCell">
    <xdr:from>
      <xdr:col>13</xdr:col>
      <xdr:colOff>323022</xdr:colOff>
      <xdr:row>28</xdr:row>
      <xdr:rowOff>786849</xdr:rowOff>
    </xdr:from>
    <xdr:to>
      <xdr:col>14</xdr:col>
      <xdr:colOff>654668</xdr:colOff>
      <xdr:row>28</xdr:row>
      <xdr:rowOff>1751665</xdr:rowOff>
    </xdr:to>
    <xdr:pic>
      <xdr:nvPicPr>
        <xdr:cNvPr id="6" name="Рисунок 5" descr="подпись Чесноков.png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2134022" y="9086023"/>
          <a:ext cx="1275863" cy="964816"/>
        </a:xfrm>
        <a:prstGeom prst="rect">
          <a:avLst/>
        </a:prstGeom>
      </xdr:spPr>
    </xdr:pic>
    <xdr:clientData/>
  </xdr:twoCellAnchor>
  <xdr:twoCellAnchor>
    <xdr:from>
      <xdr:col>1</xdr:col>
      <xdr:colOff>712304</xdr:colOff>
      <xdr:row>28</xdr:row>
      <xdr:rowOff>695739</xdr:rowOff>
    </xdr:from>
    <xdr:to>
      <xdr:col>3</xdr:col>
      <xdr:colOff>14494</xdr:colOff>
      <xdr:row>29</xdr:row>
      <xdr:rowOff>4556</xdr:rowOff>
    </xdr:to>
    <xdr:pic>
      <xdr:nvPicPr>
        <xdr:cNvPr id="7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71261" y="10933043"/>
          <a:ext cx="2880276" cy="11309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\e\&#1056;&#1072;&#1073;&#1086;&#1095;&#1080;&#1077;%20&#1092;&#1072;&#1081;&#1083;&#1099;\Alk\&#1048;&#1085;&#1074;&#1086;&#1081;&#1089;&#1099;\&#1063;&#1072;&#1081;\&#1057;&#1090;&#1072;&#1088;&#1099;&#1077;%20&#1095;&#1072;&#1080;-%20&#1057;&#1072;&#1093;&#1072;,%20&#1057;&#1080;&#1085;&#1075;&#1093;%20-%20&#1069;&#1083;&#1090;&#1080;&#1082;\&#1057;&#1072;&#1093;&#1072;\&#1051;&#1077;&#1085;&#1072;\04-12-97%202081%20&#1095;&#1072;&#1081;%20&#1057;&#1072;&#1093;&#1072;%20&#1057;&#1090;&#1088;&#1086;&#1081;%201295%20I-DDP-18120%20W-13283.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ad\share_c\&#1052;&#1086;&#1080;%20&#1076;&#1086;&#1082;&#1091;&#1084;&#1077;&#1085;&#1090;&#1099;\&#1057;&#1074;&#1072;&#1083;&#1082;&#1072;\&#1048;&#1085;&#1074;&#1086;&#1081;&#1089;&#1099;%20&#1085;&#1072;%2004,06,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0;&#1083;&#1100;&#1073;&#1077;&#1088;&#1090;\Merloni_log\ARDO\Log_Ardo_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valday.TG\&#1056;&#1072;&#1073;&#1086;&#1095;&#1080;&#1081;%20&#1089;&#1090;&#1086;&#1083;\&#1053;&#1086;&#1074;&#1072;&#1103;%20&#1087;&#1072;&#1087;&#1082;&#1072;\02\79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Расчет"/>
      <sheetName val="INV"/>
      <sheetName val="PL"/>
      <sheetName val="SL BL"/>
      <sheetName val="M BL"/>
      <sheetName val="&quot;A&quot;"/>
      <sheetName val="SL_BL"/>
      <sheetName val="M_BL"/>
      <sheetName val="Лист1"/>
      <sheetName val="Arkusz1"/>
      <sheetName val="SL_BL1"/>
      <sheetName val="M_BL1"/>
      <sheetName val="SL_BL3"/>
      <sheetName val="M_BL3"/>
      <sheetName val="SL_BL2"/>
      <sheetName val="M_BL2"/>
      <sheetName val="Лист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WERE"/>
      <sheetName val="invoice"/>
      <sheetName val="ЗАКАЗ СРТ"/>
      <sheetName val="Отправитель"/>
      <sheetName val="ЗАКАЗ_СРТ"/>
      <sheetName val="SIRTEK"/>
      <sheetName val="день"/>
      <sheetName val="сч-та"/>
      <sheetName val="Контакты "/>
      <sheetName val="дела Лена"/>
      <sheetName val="дела КЕ"/>
      <sheetName val="ОТС 2012"/>
      <sheetName val="Теко"/>
      <sheetName val="Атия"/>
      <sheetName val="Форум"/>
      <sheetName val="ТЕКСРУС-Новотранс"/>
      <sheetName val="Диалог 2012"/>
      <sheetName val="Умная Л"/>
      <sheetName val="СВТС-Балтэк"/>
      <sheetName val="Левин"/>
      <sheetName val="Роладос"/>
      <sheetName val="Рябина"/>
      <sheetName val="Запросы"/>
      <sheetName val="Роладос СБОРКА"/>
      <sheetName val="Лист1"/>
      <sheetName val="Лист2"/>
      <sheetName val="Лист3"/>
      <sheetName val="Лист4"/>
      <sheetName val="ЗАКАЗ_СРТ1"/>
      <sheetName val="Расчет"/>
      <sheetName val="Контакты_"/>
      <sheetName val="дела_Лена"/>
      <sheetName val="дела_КЕ"/>
      <sheetName val="ОТС_2012"/>
      <sheetName val="Диалог_2012"/>
      <sheetName val="Умная_Л"/>
      <sheetName val="Роладос_СБОРКА"/>
      <sheetName val="_x0000_ĄĄ¿_x0000__x0008__x0008_ǿ_x0000__x0000__x0008_ο_x0000__x0000__x0002_В_x0000_￼_xffff__x0015__x0016__x0017__x0018__x0019__x001a__x001b__x001c__x001d__x001e__x001f_ "/>
      <sheetName val=""/>
      <sheetName val="ЗАКАЗ_СРТ3"/>
      <sheetName val="Контакты_2"/>
      <sheetName val="дела_Лена2"/>
      <sheetName val="дела_КЕ2"/>
      <sheetName val="ОТС_20122"/>
      <sheetName val="Диалог_20122"/>
      <sheetName val="Умная_Л2"/>
      <sheetName val="Роладос_СБОРКА2"/>
      <sheetName val="ЗАКАЗ_СРТ2"/>
      <sheetName val="Контакты_1"/>
      <sheetName val="дела_Лена1"/>
      <sheetName val="дела_КЕ1"/>
      <sheetName val="ОТС_20121"/>
      <sheetName val="Диалог_20121"/>
      <sheetName val="Умная_Л1"/>
      <sheetName val="Роладос_СБОРКА1"/>
      <sheetName val="?ĄĄ¿?_x0008__x0008_ǿ??_x0008_ο??_x0002_В?￼_xffff__x0015__x0016__x0017__x0018__x0019__x001a__x001b__x001c__x001d__x001e__x001f_ "/>
      <sheetName val="_ĄĄ¿__x0008__x0008_ǿ___x0008_ο___x0002_В_￼_xffff__x0015__x0016__x0017__x0018__x0019__x001a__x001b__x001c__x001d__x001e__x001f_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ий"/>
      <sheetName val="000"/>
      <sheetName val="Накладная"/>
      <sheetName val="Себест"/>
      <sheetName val="0031@"/>
      <sheetName val="0049@"/>
      <sheetName val="0078@"/>
      <sheetName val="0089@"/>
      <sheetName val="0093@"/>
      <sheetName val="0094@"/>
      <sheetName val="0095@"/>
      <sheetName val="0101@"/>
      <sheetName val="0153@"/>
      <sheetName val="0154@"/>
      <sheetName val="0157@"/>
      <sheetName val="0176@"/>
      <sheetName val="0210@"/>
      <sheetName val="0211@"/>
      <sheetName val="0212@"/>
      <sheetName val="0252@"/>
      <sheetName val="0253@"/>
      <sheetName val="0263@"/>
      <sheetName val="0292@"/>
      <sheetName val="0302@"/>
      <sheetName val="0304@"/>
      <sheetName val="0305@"/>
      <sheetName val="0356@"/>
      <sheetName val="0357@"/>
      <sheetName val="0364@"/>
      <sheetName val="50007@"/>
      <sheetName val="50020@"/>
      <sheetName val="50041@"/>
      <sheetName val="50043@"/>
      <sheetName val="50076@"/>
      <sheetName val="50078@"/>
      <sheetName val="Лист1"/>
      <sheetName val="001"/>
      <sheetName val="002"/>
      <sheetName val="003"/>
      <sheetName val="50406"/>
      <sheetName val="50426"/>
      <sheetName val="50431"/>
      <sheetName val="50436"/>
      <sheetName val="Всего"/>
      <sheetName val="50354@"/>
      <sheetName val="50355@"/>
      <sheetName val="50356@"/>
      <sheetName val="Приходы"/>
      <sheetName val="Себ2"/>
      <sheetName val="Вагон"/>
      <sheetName val="50103@"/>
      <sheetName val="50106@"/>
      <sheetName val="50118@"/>
      <sheetName val="50119@"/>
      <sheetName val="Рига"/>
      <sheetName val="Бонус"/>
      <sheetName val="DDP_euro"/>
      <sheetName val="Скидка"/>
      <sheetName val="Прайс1"/>
      <sheetName val="Прайс2"/>
      <sheetName val="1"/>
      <sheetName val="Плиты"/>
      <sheetName val="Стир+Выт"/>
      <sheetName val="Вытяжки"/>
      <sheetName val="Сетка"/>
      <sheetName val="Встройка"/>
      <sheetName val="Скидки"/>
      <sheetName val="Гитлин"/>
      <sheetName val="Ленинский"/>
      <sheetName val="Черк_Лен"/>
      <sheetName val="Лен_Черк"/>
      <sheetName val="2"/>
      <sheetName val="3"/>
      <sheetName val="50354"/>
      <sheetName val="50355"/>
      <sheetName val="50356"/>
      <sheetName val="Лист3"/>
      <sheetName val="Лист2"/>
    </sheetNames>
    <sheetDataSet>
      <sheetData sheetId="0" refreshError="1">
        <row r="2">
          <cell r="E2" t="str">
            <v>GA 40 ME COBB</v>
          </cell>
        </row>
        <row r="3">
          <cell r="E3" t="str">
            <v>GA 40 ME COMM</v>
          </cell>
        </row>
        <row r="4">
          <cell r="E4" t="str">
            <v>GA 40 ME CONN</v>
          </cell>
        </row>
        <row r="5">
          <cell r="E5" t="str">
            <v>GA 40 ME COXL</v>
          </cell>
        </row>
        <row r="6">
          <cell r="E6" t="str">
            <v>PA 40 RM COXL</v>
          </cell>
        </row>
        <row r="7">
          <cell r="E7" t="str">
            <v>PA 40 SM BOXL</v>
          </cell>
        </row>
        <row r="8">
          <cell r="E8" t="str">
            <v>PA 40 SR BOXL</v>
          </cell>
        </row>
        <row r="9">
          <cell r="E9" t="str">
            <v>FA 40 ME E0BB</v>
          </cell>
        </row>
        <row r="10">
          <cell r="E10" t="str">
            <v>FA 40 ME E0XL</v>
          </cell>
        </row>
        <row r="11">
          <cell r="E11" t="str">
            <v>FA 40 MT E0NC</v>
          </cell>
        </row>
        <row r="12">
          <cell r="E12" t="str">
            <v>FR 50 ME V0XL</v>
          </cell>
        </row>
        <row r="13">
          <cell r="E13" t="str">
            <v>FR 50 MT V0XS</v>
          </cell>
        </row>
        <row r="14">
          <cell r="E14" t="str">
            <v>PA 40 CF W</v>
          </cell>
        </row>
        <row r="15">
          <cell r="E15" t="str">
            <v>PA 40 CF X</v>
          </cell>
        </row>
        <row r="16">
          <cell r="E16" t="str">
            <v>PA 50 CF X</v>
          </cell>
        </row>
        <row r="17">
          <cell r="E17" t="str">
            <v>GA 31 ME CBXS</v>
          </cell>
        </row>
        <row r="18">
          <cell r="E18" t="str">
            <v>PA 31 SM EBXS</v>
          </cell>
        </row>
        <row r="19">
          <cell r="E19" t="str">
            <v>PA 40 RS W</v>
          </cell>
        </row>
        <row r="20">
          <cell r="E20" t="str">
            <v>PA 40 RS B</v>
          </cell>
        </row>
        <row r="21">
          <cell r="E21" t="str">
            <v>PT 40 RE X</v>
          </cell>
        </row>
        <row r="22">
          <cell r="E22" t="str">
            <v>GA 40 ME COBB V</v>
          </cell>
        </row>
        <row r="23">
          <cell r="E23" t="str">
            <v>GA 40 ME COMM V</v>
          </cell>
        </row>
        <row r="24">
          <cell r="E24" t="str">
            <v>GA 40 ME CONN V</v>
          </cell>
        </row>
        <row r="25">
          <cell r="E25" t="str">
            <v>GA 40 ME COXL V</v>
          </cell>
        </row>
        <row r="26">
          <cell r="E26" t="str">
            <v>GA 31 ME CBXS V</v>
          </cell>
        </row>
        <row r="27">
          <cell r="E27" t="str">
            <v>PA 40 RM COXL V</v>
          </cell>
        </row>
        <row r="28">
          <cell r="E28" t="str">
            <v>PA 40 SM BOXL V</v>
          </cell>
        </row>
        <row r="29">
          <cell r="E29" t="str">
            <v>PA 40 SR BOXL V</v>
          </cell>
        </row>
        <row r="30">
          <cell r="E30" t="str">
            <v>PA 31 SM EBXS V</v>
          </cell>
        </row>
        <row r="31">
          <cell r="E31" t="str">
            <v>FA 40 ME E0BB V</v>
          </cell>
        </row>
        <row r="32">
          <cell r="E32" t="str">
            <v>FA 40 ME E0XL V</v>
          </cell>
        </row>
        <row r="33">
          <cell r="E33" t="str">
            <v>FA 40 MT E0NC V</v>
          </cell>
        </row>
        <row r="34">
          <cell r="E34" t="str">
            <v>FR 50 ME V0XL V</v>
          </cell>
        </row>
        <row r="35">
          <cell r="E35" t="str">
            <v>FR 50 MT V0XS V</v>
          </cell>
        </row>
        <row r="36">
          <cell r="E36" t="str">
            <v>PA 40 CF W V</v>
          </cell>
        </row>
        <row r="37">
          <cell r="E37" t="str">
            <v>PA 40 CF X V</v>
          </cell>
        </row>
        <row r="38">
          <cell r="E38" t="str">
            <v>PA 50 CF X V</v>
          </cell>
        </row>
        <row r="39">
          <cell r="E39" t="str">
            <v>PA 40 RS W V</v>
          </cell>
        </row>
        <row r="40">
          <cell r="E40" t="str">
            <v>PA 40 RS B V</v>
          </cell>
        </row>
        <row r="41">
          <cell r="E41" t="str">
            <v>PT 40 RE X V</v>
          </cell>
        </row>
        <row r="42">
          <cell r="E42" t="str">
            <v>CA 40 CE E0XL V</v>
          </cell>
        </row>
        <row r="43">
          <cell r="E43" t="str">
            <v>SP 40 TA EOBB V</v>
          </cell>
        </row>
        <row r="44">
          <cell r="E44" t="str">
            <v>SP 40 TA EONN V</v>
          </cell>
        </row>
        <row r="45">
          <cell r="E45" t="str">
            <v>SR 40 TA EONN V</v>
          </cell>
        </row>
        <row r="46">
          <cell r="E46" t="str">
            <v>SR 50 CTE0 NS V</v>
          </cell>
        </row>
        <row r="47">
          <cell r="E47" t="str">
            <v>SR 50 CTE0 NA V</v>
          </cell>
        </row>
        <row r="48">
          <cell r="E48" t="str">
            <v>SR 50 CTE0 BA V</v>
          </cell>
        </row>
        <row r="49">
          <cell r="E49" t="str">
            <v>SR 50 CTE0 RA V</v>
          </cell>
        </row>
        <row r="50">
          <cell r="E50" t="str">
            <v>PR 58</v>
          </cell>
        </row>
        <row r="51">
          <cell r="E51" t="str">
            <v>PR 58 W</v>
          </cell>
        </row>
        <row r="52">
          <cell r="E52" t="str">
            <v>PE 58</v>
          </cell>
        </row>
        <row r="53">
          <cell r="E53" t="str">
            <v>PE 58 E 1</v>
          </cell>
        </row>
        <row r="54">
          <cell r="E54" t="str">
            <v>PEO 58 E 2</v>
          </cell>
        </row>
        <row r="55">
          <cell r="E55" t="str">
            <v>PE 75 E 2 T</v>
          </cell>
        </row>
        <row r="56">
          <cell r="E56" t="str">
            <v>WA 04 CE AW</v>
          </cell>
        </row>
        <row r="57">
          <cell r="E57" t="str">
            <v>WA 04 CE SX</v>
          </cell>
        </row>
        <row r="58">
          <cell r="E58" t="str">
            <v>MA 04 BEAB XS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"/>
      <sheetName val="График"/>
      <sheetName val="для терм"/>
      <sheetName val="CMR (KV)"/>
      <sheetName val="TIR"/>
      <sheetName val="Инвойс"/>
      <sheetName val="Лист1"/>
      <sheetName val="Инвойс рус"/>
      <sheetName val="ПРАЙС"/>
      <sheetName val="PackList"/>
      <sheetName val="Прил"/>
      <sheetName val="серт"/>
      <sheetName val="ПАРИ"/>
      <sheetName val="full"/>
      <sheetName val="furEX"/>
      <sheetName val="накл"/>
    </sheetNames>
    <sheetDataSet>
      <sheetData sheetId="0" refreshError="1"/>
      <sheetData sheetId="1"/>
      <sheetData sheetId="2" refreshError="1">
        <row r="1">
          <cell r="A1" t="str">
            <v>Модель</v>
          </cell>
          <cell r="B1" t="str">
            <v>Страна</v>
          </cell>
          <cell r="C1" t="str">
            <v>Имя рус</v>
          </cell>
          <cell r="D1" t="str">
            <v>Имя англ</v>
          </cell>
          <cell r="E1" t="str">
            <v>штук</v>
          </cell>
          <cell r="F1" t="str">
            <v>мест</v>
          </cell>
          <cell r="G1" t="str">
            <v>вес</v>
          </cell>
          <cell r="H1" t="str">
            <v>вес нетто</v>
          </cell>
          <cell r="I1" t="str">
            <v>код</v>
          </cell>
          <cell r="J1" t="str">
            <v>сумма</v>
          </cell>
        </row>
        <row r="2">
          <cell r="A2" t="str">
            <v>ASSIO</v>
          </cell>
          <cell r="B2" t="str">
            <v>ITALY</v>
          </cell>
          <cell r="C2" t="str">
            <v>КОЖАННЫЕ ЧЕХЛЫ НА ЦАРГИ КРОВАТИ</v>
          </cell>
          <cell r="D2" t="str">
            <v>LEATHER COVERS FOR THE SIDE BARS</v>
          </cell>
          <cell r="E2">
            <v>3</v>
          </cell>
          <cell r="F2">
            <v>1</v>
          </cell>
          <cell r="G2">
            <v>8.8000000000000007</v>
          </cell>
          <cell r="H2">
            <v>8.8000000000000007</v>
          </cell>
          <cell r="I2" t="str">
            <v>4202 91 8000</v>
          </cell>
          <cell r="J2">
            <v>20</v>
          </cell>
        </row>
        <row r="4">
          <cell r="A4" t="str">
            <v>BERLONI</v>
          </cell>
          <cell r="B4" t="str">
            <v>ITALY</v>
          </cell>
          <cell r="C4" t="str">
            <v>МОЙКИ КУХОННЫЕ ИЗ ФРАГРАНИТА (керамика)</v>
          </cell>
          <cell r="D4" t="str">
            <v>KITCHEN SINK</v>
          </cell>
          <cell r="E4">
            <v>2</v>
          </cell>
          <cell r="F4">
            <v>2</v>
          </cell>
          <cell r="G4">
            <v>82.4</v>
          </cell>
          <cell r="H4">
            <v>76</v>
          </cell>
          <cell r="I4" t="str">
            <v>6910 90 0000</v>
          </cell>
          <cell r="J4">
            <v>108</v>
          </cell>
        </row>
        <row r="6">
          <cell r="A6" t="str">
            <v>VICENTE ZARAGOZA</v>
          </cell>
          <cell r="B6" t="str">
            <v>SPAIN</v>
          </cell>
          <cell r="C6" t="str">
            <v>ЗЕРКАЛА В РАМАХ</v>
          </cell>
          <cell r="D6" t="str">
            <v>MIRRORS</v>
          </cell>
          <cell r="E6">
            <v>9</v>
          </cell>
          <cell r="F6">
            <v>5</v>
          </cell>
          <cell r="G6">
            <v>251</v>
          </cell>
          <cell r="H6">
            <v>230</v>
          </cell>
          <cell r="I6" t="str">
            <v>7009 92 0000</v>
          </cell>
          <cell r="J6">
            <v>333</v>
          </cell>
        </row>
        <row r="8">
          <cell r="A8" t="str">
            <v>BERLONI</v>
          </cell>
          <cell r="B8" t="str">
            <v>ITALY</v>
          </cell>
          <cell r="C8" t="str">
            <v>ВЫТЯЖКИ</v>
          </cell>
          <cell r="D8" t="str">
            <v>EXHAUST VENTILATIONS</v>
          </cell>
          <cell r="E8">
            <v>8</v>
          </cell>
          <cell r="F8">
            <v>8</v>
          </cell>
          <cell r="G8">
            <v>201.8</v>
          </cell>
          <cell r="H8">
            <v>185</v>
          </cell>
          <cell r="I8" t="str">
            <v>8414 60 0000</v>
          </cell>
          <cell r="J8">
            <v>200</v>
          </cell>
        </row>
        <row r="10">
          <cell r="A10" t="str">
            <v>VICENTE ZARAGOZA</v>
          </cell>
          <cell r="B10" t="str">
            <v>SPAIN</v>
          </cell>
          <cell r="C10" t="str">
            <v>СТУЛЬЯ</v>
          </cell>
          <cell r="D10" t="str">
            <v>CHAIRS</v>
          </cell>
          <cell r="E10">
            <v>24</v>
          </cell>
          <cell r="F10">
            <v>12</v>
          </cell>
          <cell r="G10">
            <v>235.4</v>
          </cell>
          <cell r="H10">
            <v>215</v>
          </cell>
          <cell r="I10" t="str">
            <v>9401 61 0000</v>
          </cell>
          <cell r="J10">
            <v>312</v>
          </cell>
        </row>
        <row r="11">
          <cell r="A11" t="str">
            <v>VICENTE ZARAGOZA</v>
          </cell>
          <cell r="B11" t="str">
            <v>SPAIN</v>
          </cell>
          <cell r="C11" t="str">
            <v>КРЕСЛА</v>
          </cell>
          <cell r="D11" t="str">
            <v>ARMCHAIRS</v>
          </cell>
          <cell r="E11">
            <v>1</v>
          </cell>
          <cell r="F11">
            <v>1</v>
          </cell>
          <cell r="G11">
            <v>13.8</v>
          </cell>
          <cell r="H11">
            <v>13</v>
          </cell>
          <cell r="I11" t="str">
            <v>9401 61 0000</v>
          </cell>
          <cell r="J11">
            <v>18</v>
          </cell>
        </row>
        <row r="12">
          <cell r="A12" t="str">
            <v>VICENTE ZARAGOZA</v>
          </cell>
          <cell r="B12" t="str">
            <v>SPAIN</v>
          </cell>
          <cell r="C12" t="str">
            <v>КРЕСЛА</v>
          </cell>
          <cell r="D12" t="str">
            <v>ARMCHAIRS</v>
          </cell>
          <cell r="E12">
            <v>2</v>
          </cell>
          <cell r="F12">
            <v>2</v>
          </cell>
          <cell r="G12">
            <v>82.2</v>
          </cell>
          <cell r="H12">
            <v>75</v>
          </cell>
          <cell r="I12" t="str">
            <v>9401 61 0000</v>
          </cell>
          <cell r="J12">
            <v>108</v>
          </cell>
        </row>
        <row r="13">
          <cell r="A13" t="str">
            <v>VICENTE ZARAGOZA</v>
          </cell>
          <cell r="B13" t="str">
            <v>SPAIN</v>
          </cell>
          <cell r="C13" t="str">
            <v>ДИВАН</v>
          </cell>
          <cell r="D13" t="str">
            <v>DIVAN</v>
          </cell>
          <cell r="E13">
            <v>1</v>
          </cell>
          <cell r="F13">
            <v>1</v>
          </cell>
          <cell r="G13">
            <v>58.2</v>
          </cell>
          <cell r="H13">
            <v>54</v>
          </cell>
          <cell r="I13" t="str">
            <v>9401 61 0000</v>
          </cell>
          <cell r="J13">
            <v>76</v>
          </cell>
        </row>
        <row r="16">
          <cell r="A16" t="str">
            <v>BERLONI</v>
          </cell>
          <cell r="B16" t="str">
            <v>ITALY</v>
          </cell>
          <cell r="C16" t="str">
            <v>СТУЛЬЯ</v>
          </cell>
          <cell r="D16" t="str">
            <v>CHAIRS</v>
          </cell>
          <cell r="E16">
            <v>23</v>
          </cell>
          <cell r="F16">
            <v>13</v>
          </cell>
          <cell r="G16">
            <v>160</v>
          </cell>
          <cell r="H16">
            <v>146</v>
          </cell>
          <cell r="I16" t="str">
            <v>9401 69 0000</v>
          </cell>
          <cell r="J16">
            <v>230</v>
          </cell>
        </row>
        <row r="18">
          <cell r="A18" t="str">
            <v>BERLONI</v>
          </cell>
          <cell r="B18" t="str">
            <v>ITALY</v>
          </cell>
          <cell r="C18" t="str">
            <v>СТУЛЬЯ МЕТАЛЛИЧЕСКИЕ С ПЛАСТИКОВЫМ СИДЕНИЕМ</v>
          </cell>
          <cell r="D18" t="str">
            <v>CHAIRS</v>
          </cell>
          <cell r="E18">
            <v>4</v>
          </cell>
          <cell r="F18">
            <v>1</v>
          </cell>
          <cell r="G18">
            <v>24.8</v>
          </cell>
          <cell r="H18">
            <v>23</v>
          </cell>
          <cell r="I18" t="str">
            <v>9401 79 0000</v>
          </cell>
          <cell r="J18">
            <v>36</v>
          </cell>
        </row>
        <row r="20">
          <cell r="A20" t="str">
            <v>BERLONI</v>
          </cell>
          <cell r="B20" t="str">
            <v>ITALY</v>
          </cell>
          <cell r="C20" t="str">
            <v>НАБОРЫ МЕБЕЛИ ДЛЯ КУХНИ: ТУМБЫ, ПОЛКИ (с подсветкой), ШКАФЫ (колонки), СТОЛЕШНИЦЫ</v>
          </cell>
          <cell r="D20" t="str">
            <v>SETS FURNITURE FOR KITCHEN: BASES, SHELVES W/LIGHT, WARDROBES, TOPS</v>
          </cell>
          <cell r="E20">
            <v>12</v>
          </cell>
          <cell r="F20">
            <v>361</v>
          </cell>
          <cell r="G20">
            <v>6301.2</v>
          </cell>
          <cell r="H20">
            <v>5750</v>
          </cell>
          <cell r="I20" t="str">
            <v>9403 40 1000</v>
          </cell>
          <cell r="J20">
            <v>8196</v>
          </cell>
        </row>
        <row r="22">
          <cell r="A22" t="str">
            <v>BERLONI</v>
          </cell>
          <cell r="B22" t="str">
            <v>ITALY</v>
          </cell>
          <cell r="C22" t="str">
            <v>НАБОР МЕБЕЛИ ДЛЯ СПАЛЬНИ (детская комната): ШКАФ И ДВУХЯРУСНАЯ КРОВАТЬ</v>
          </cell>
          <cell r="D22" t="str">
            <v>SET FURNITURE FOR BEDROOM: WARDROBE AND DOUBLE-LEVEL BED</v>
          </cell>
          <cell r="E22">
            <v>1</v>
          </cell>
          <cell r="F22">
            <v>20</v>
          </cell>
          <cell r="G22">
            <v>344.2</v>
          </cell>
          <cell r="H22">
            <v>315</v>
          </cell>
          <cell r="I22" t="str">
            <v>9403 50 0000</v>
          </cell>
          <cell r="J22">
            <v>448</v>
          </cell>
        </row>
        <row r="23">
          <cell r="A23" t="str">
            <v>VICENTE ZARAGOZA</v>
          </cell>
          <cell r="B23" t="str">
            <v>SPAIN</v>
          </cell>
          <cell r="C23" t="str">
            <v>КОМОД</v>
          </cell>
          <cell r="D23" t="str">
            <v>CHEST OF DRAWERS</v>
          </cell>
          <cell r="E23">
            <v>1</v>
          </cell>
          <cell r="F23">
            <v>1</v>
          </cell>
          <cell r="G23">
            <v>69</v>
          </cell>
          <cell r="H23">
            <v>63</v>
          </cell>
          <cell r="I23" t="str">
            <v>9403 50 0000</v>
          </cell>
          <cell r="J23">
            <v>90</v>
          </cell>
        </row>
        <row r="27">
          <cell r="A27" t="str">
            <v>BERLONI</v>
          </cell>
          <cell r="B27" t="str">
            <v>ITALY</v>
          </cell>
          <cell r="C27" t="str">
            <v>СТОЛЫ</v>
          </cell>
          <cell r="D27" t="str">
            <v>TABLES</v>
          </cell>
          <cell r="E27">
            <v>4</v>
          </cell>
          <cell r="F27">
            <v>9</v>
          </cell>
          <cell r="G27">
            <v>255.5</v>
          </cell>
          <cell r="H27">
            <v>234</v>
          </cell>
          <cell r="I27" t="str">
            <v>9403 60 1000</v>
          </cell>
          <cell r="J27">
            <v>336</v>
          </cell>
        </row>
        <row r="28">
          <cell r="A28" t="str">
            <v>VICENTE ZARAGOZA</v>
          </cell>
          <cell r="B28" t="str">
            <v>SPAIN</v>
          </cell>
          <cell r="C28" t="str">
            <v>СТОЛЫ</v>
          </cell>
          <cell r="D28" t="str">
            <v>TABLES</v>
          </cell>
          <cell r="E28">
            <v>9</v>
          </cell>
          <cell r="F28">
            <v>21</v>
          </cell>
          <cell r="G28">
            <v>618</v>
          </cell>
          <cell r="H28">
            <v>564</v>
          </cell>
          <cell r="I28" t="str">
            <v>9403 60 1000</v>
          </cell>
          <cell r="J28">
            <v>810</v>
          </cell>
        </row>
        <row r="29">
          <cell r="A29" t="str">
            <v>VICENTE ZARAGOZA</v>
          </cell>
          <cell r="B29" t="str">
            <v>SPAIN</v>
          </cell>
          <cell r="C29" t="str">
            <v>СЕРВАНТЫ</v>
          </cell>
          <cell r="D29" t="str">
            <v>SIDEBOARDS</v>
          </cell>
          <cell r="E29">
            <v>6</v>
          </cell>
          <cell r="F29">
            <v>46</v>
          </cell>
          <cell r="G29">
            <v>909.7</v>
          </cell>
          <cell r="H29">
            <v>831</v>
          </cell>
          <cell r="I29" t="str">
            <v>9403 60 1000</v>
          </cell>
          <cell r="J29">
            <v>1188</v>
          </cell>
        </row>
        <row r="30">
          <cell r="A30" t="str">
            <v>VICENTE ZARAGOZA</v>
          </cell>
          <cell r="B30" t="str">
            <v>SPAIN</v>
          </cell>
          <cell r="C30" t="str">
            <v>ВИТРИНЫ</v>
          </cell>
          <cell r="D30" t="str">
            <v>GLASSCASES</v>
          </cell>
          <cell r="E30">
            <v>7</v>
          </cell>
          <cell r="F30">
            <v>36</v>
          </cell>
          <cell r="G30">
            <v>1011.6</v>
          </cell>
          <cell r="H30">
            <v>923</v>
          </cell>
          <cell r="I30" t="str">
            <v>9403 60 1000</v>
          </cell>
          <cell r="J30">
            <v>1316</v>
          </cell>
        </row>
        <row r="31">
          <cell r="A31" t="str">
            <v>VICENTE ZARAGOZA</v>
          </cell>
          <cell r="B31" t="str">
            <v>SPAIN</v>
          </cell>
          <cell r="C31" t="str">
            <v>ТУАЛЕТНЫЙ СТОЛИК</v>
          </cell>
          <cell r="D31" t="str">
            <v>DRESSING TABLE</v>
          </cell>
          <cell r="E31">
            <v>1</v>
          </cell>
          <cell r="F31">
            <v>1</v>
          </cell>
          <cell r="G31">
            <v>97.6</v>
          </cell>
          <cell r="H31">
            <v>90</v>
          </cell>
          <cell r="I31" t="str">
            <v>9403 60 1000</v>
          </cell>
          <cell r="J31">
            <v>127</v>
          </cell>
        </row>
        <row r="34">
          <cell r="A34" t="str">
            <v>VICENTE ZARAGOZA</v>
          </cell>
          <cell r="B34" t="str">
            <v>SPAIN</v>
          </cell>
          <cell r="C34" t="str">
            <v>ПОДСТАВКА ДЛЯ ЦВЕТОВ</v>
          </cell>
          <cell r="D34" t="str">
            <v>STAND FOR FLOWERS</v>
          </cell>
          <cell r="E34">
            <v>1</v>
          </cell>
          <cell r="F34">
            <v>2</v>
          </cell>
          <cell r="G34">
            <v>24.6</v>
          </cell>
          <cell r="H34">
            <v>23</v>
          </cell>
          <cell r="I34" t="str">
            <v>9403 60 9000</v>
          </cell>
          <cell r="J34">
            <v>32</v>
          </cell>
        </row>
        <row r="36">
          <cell r="A36" t="str">
            <v>VICENTE ZARAGOZA</v>
          </cell>
          <cell r="B36" t="str">
            <v>SPAIN</v>
          </cell>
          <cell r="C36" t="str">
            <v>ДВЕРИ ДЛЯ ШКАФОВ</v>
          </cell>
          <cell r="D36" t="str">
            <v>PARTS (DOORS FOR WARDROBES)</v>
          </cell>
          <cell r="E36">
            <v>20</v>
          </cell>
          <cell r="F36">
            <v>5</v>
          </cell>
          <cell r="G36">
            <v>210.6</v>
          </cell>
          <cell r="H36">
            <v>193</v>
          </cell>
          <cell r="I36" t="str">
            <v>9403 90 3000</v>
          </cell>
          <cell r="J36">
            <v>280</v>
          </cell>
        </row>
        <row r="37">
          <cell r="A37" t="str">
            <v>VICENTE ZARAGOZA</v>
          </cell>
          <cell r="B37" t="str">
            <v>SPAIN</v>
          </cell>
          <cell r="C37" t="str">
            <v>ЗАДНИЕ ПАНЕЛИ ДЛЯ ШКАФОВ</v>
          </cell>
          <cell r="D37" t="str">
            <v>PARTS (BACK PANELS FOR WARDROBES)</v>
          </cell>
          <cell r="E37">
            <v>3</v>
          </cell>
          <cell r="F37">
            <v>3</v>
          </cell>
          <cell r="G37">
            <v>58.6</v>
          </cell>
          <cell r="H37">
            <v>54</v>
          </cell>
          <cell r="I37" t="str">
            <v>9403 90 3000</v>
          </cell>
          <cell r="J37">
            <v>78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tabSelected="1" topLeftCell="A8" zoomScale="115" zoomScaleNormal="115" zoomScaleSheetLayoutView="55" zoomScalePageLayoutView="90" workbookViewId="0">
      <selection activeCell="L19" sqref="L19"/>
    </sheetView>
  </sheetViews>
  <sheetFormatPr defaultRowHeight="12.75"/>
  <cols>
    <col min="1" max="1" width="18.85546875" style="3" customWidth="1"/>
    <col min="2" max="2" width="42.85546875" style="2" customWidth="1"/>
    <col min="3" max="3" width="10.85546875" style="3" customWidth="1"/>
    <col min="4" max="4" width="16.85546875" style="3" customWidth="1"/>
    <col min="5" max="5" width="9" style="3" customWidth="1"/>
    <col min="6" max="6" width="15.42578125" style="4" customWidth="1"/>
    <col min="7" max="7" width="5.85546875" style="3" customWidth="1"/>
    <col min="8" max="8" width="10.42578125" style="5" customWidth="1"/>
    <col min="9" max="9" width="10.42578125" style="6" customWidth="1"/>
    <col min="10" max="11" width="11.42578125" style="7" customWidth="1"/>
    <col min="12" max="12" width="15.42578125" style="7" customWidth="1"/>
    <col min="13" max="13" width="9.85546875" style="7" customWidth="1"/>
    <col min="14" max="14" width="14.140625" style="7" customWidth="1"/>
    <col min="15" max="15" width="12" style="7" customWidth="1"/>
    <col min="16" max="16" width="12.5703125" style="7" customWidth="1"/>
    <col min="17" max="18" width="0" style="5" hidden="1" customWidth="1"/>
    <col min="19" max="16384" width="9.140625" style="5"/>
  </cols>
  <sheetData>
    <row r="1" spans="1:18">
      <c r="B1" s="43"/>
    </row>
    <row r="2" spans="1:18">
      <c r="A2" s="45" t="s">
        <v>57</v>
      </c>
      <c r="B2" s="48"/>
      <c r="C2" s="45"/>
    </row>
    <row r="3" spans="1:18">
      <c r="A3" s="45"/>
      <c r="B3" s="48"/>
      <c r="C3" s="45"/>
    </row>
    <row r="4" spans="1:18" ht="24" customHeight="1">
      <c r="A4" s="45" t="s">
        <v>56</v>
      </c>
      <c r="B4" s="48"/>
      <c r="C4" s="45"/>
    </row>
    <row r="5" spans="1:18" ht="36" customHeight="1" thickBot="1">
      <c r="A5" s="45"/>
      <c r="B5" s="48"/>
    </row>
    <row r="6" spans="1:18" s="14" customFormat="1" ht="66" customHeight="1">
      <c r="A6" s="8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10" t="s">
        <v>5</v>
      </c>
      <c r="G6" s="9" t="s">
        <v>6</v>
      </c>
      <c r="H6" s="11" t="s">
        <v>7</v>
      </c>
      <c r="I6" s="12" t="s">
        <v>8</v>
      </c>
      <c r="J6" s="13" t="s">
        <v>9</v>
      </c>
      <c r="K6" s="13" t="s">
        <v>21</v>
      </c>
      <c r="L6" s="13" t="s">
        <v>62</v>
      </c>
      <c r="M6" s="13" t="s">
        <v>10</v>
      </c>
      <c r="N6" s="13" t="s">
        <v>11</v>
      </c>
      <c r="O6" s="13" t="s">
        <v>12</v>
      </c>
      <c r="P6" s="13" t="s">
        <v>13</v>
      </c>
      <c r="R6" s="42" t="s">
        <v>27</v>
      </c>
    </row>
    <row r="7" spans="1:18" s="14" customFormat="1" ht="41.25" customHeight="1">
      <c r="A7" s="55" t="s">
        <v>30</v>
      </c>
      <c r="B7" s="56" t="s">
        <v>38</v>
      </c>
      <c r="C7" s="55" t="s">
        <v>14</v>
      </c>
      <c r="D7" s="55" t="s">
        <v>24</v>
      </c>
      <c r="E7" s="54" t="s">
        <v>22</v>
      </c>
      <c r="F7" s="55">
        <v>9401908009</v>
      </c>
      <c r="G7" s="55" t="s">
        <v>46</v>
      </c>
      <c r="H7" s="52">
        <v>115</v>
      </c>
      <c r="I7" s="57">
        <v>13.6</v>
      </c>
      <c r="J7" s="52">
        <v>1564</v>
      </c>
      <c r="K7" s="52">
        <f>J7+0.2*M7</f>
        <v>1575.6</v>
      </c>
      <c r="L7" s="52">
        <v>1591</v>
      </c>
      <c r="M7" s="61">
        <v>58</v>
      </c>
      <c r="N7" s="52" t="s">
        <v>55</v>
      </c>
      <c r="O7" s="52">
        <v>51.76</v>
      </c>
      <c r="P7" s="52">
        <v>5952.4</v>
      </c>
      <c r="Q7" s="42" t="s">
        <v>23</v>
      </c>
      <c r="R7" s="58" t="s">
        <v>29</v>
      </c>
    </row>
    <row r="8" spans="1:18" s="14" customFormat="1" ht="41.25" customHeight="1">
      <c r="A8" s="55" t="s">
        <v>31</v>
      </c>
      <c r="B8" s="56" t="s">
        <v>39</v>
      </c>
      <c r="C8" s="55" t="s">
        <v>14</v>
      </c>
      <c r="D8" s="55" t="s">
        <v>24</v>
      </c>
      <c r="E8" s="54" t="s">
        <v>22</v>
      </c>
      <c r="F8" s="55">
        <v>9401908009</v>
      </c>
      <c r="G8" s="55" t="s">
        <v>46</v>
      </c>
      <c r="H8" s="52">
        <v>250</v>
      </c>
      <c r="I8" s="57">
        <v>2.8919999999999999</v>
      </c>
      <c r="J8" s="52">
        <v>723</v>
      </c>
      <c r="K8" s="52">
        <f>J8+0.05*M8</f>
        <v>735.5</v>
      </c>
      <c r="L8" s="52">
        <v>740</v>
      </c>
      <c r="M8" s="61">
        <v>250</v>
      </c>
      <c r="N8" s="52" t="s">
        <v>48</v>
      </c>
      <c r="O8" s="52">
        <v>21.31</v>
      </c>
      <c r="P8" s="52">
        <v>5327.5</v>
      </c>
      <c r="Q8" s="42" t="s">
        <v>23</v>
      </c>
      <c r="R8" s="58" t="s">
        <v>29</v>
      </c>
    </row>
    <row r="9" spans="1:18" s="14" customFormat="1" ht="41.25" customHeight="1">
      <c r="A9" s="55" t="s">
        <v>32</v>
      </c>
      <c r="B9" s="56" t="s">
        <v>40</v>
      </c>
      <c r="C9" s="55" t="s">
        <v>14</v>
      </c>
      <c r="D9" s="55" t="s">
        <v>24</v>
      </c>
      <c r="E9" s="54" t="s">
        <v>22</v>
      </c>
      <c r="F9" s="55">
        <v>8302100000</v>
      </c>
      <c r="G9" s="55" t="s">
        <v>47</v>
      </c>
      <c r="H9" s="52">
        <v>3900</v>
      </c>
      <c r="I9" s="57">
        <v>0.28399999999999997</v>
      </c>
      <c r="J9" s="52">
        <v>1107.5999999999999</v>
      </c>
      <c r="K9" s="52">
        <f t="shared" ref="K9:K13" si="0">J9+0.2*M9</f>
        <v>1117.5999999999999</v>
      </c>
      <c r="L9" s="52">
        <v>1152</v>
      </c>
      <c r="M9" s="61">
        <v>50</v>
      </c>
      <c r="N9" s="52" t="s">
        <v>49</v>
      </c>
      <c r="O9" s="52">
        <v>1.05</v>
      </c>
      <c r="P9" s="52">
        <v>4095</v>
      </c>
      <c r="Q9" s="42" t="s">
        <v>23</v>
      </c>
      <c r="R9" s="58" t="s">
        <v>29</v>
      </c>
    </row>
    <row r="10" spans="1:18" s="14" customFormat="1" ht="41.25" customHeight="1">
      <c r="A10" s="55" t="s">
        <v>33</v>
      </c>
      <c r="B10" s="56" t="s">
        <v>41</v>
      </c>
      <c r="C10" s="55" t="s">
        <v>14</v>
      </c>
      <c r="D10" s="55" t="s">
        <v>24</v>
      </c>
      <c r="E10" s="54" t="s">
        <v>22</v>
      </c>
      <c r="F10" s="55">
        <v>8412310009</v>
      </c>
      <c r="G10" s="55" t="s">
        <v>47</v>
      </c>
      <c r="H10" s="52">
        <v>80</v>
      </c>
      <c r="I10" s="57">
        <v>2.4483000000000001</v>
      </c>
      <c r="J10" s="52">
        <v>195.864</v>
      </c>
      <c r="K10" s="52">
        <f t="shared" si="0"/>
        <v>197.864</v>
      </c>
      <c r="L10" s="52">
        <v>204</v>
      </c>
      <c r="M10" s="61">
        <v>10</v>
      </c>
      <c r="N10" s="52" t="s">
        <v>50</v>
      </c>
      <c r="O10" s="52">
        <v>52.66</v>
      </c>
      <c r="P10" s="52">
        <v>4212.7999999999993</v>
      </c>
      <c r="Q10" s="42" t="s">
        <v>23</v>
      </c>
      <c r="R10" s="58" t="s">
        <v>29</v>
      </c>
    </row>
    <row r="11" spans="1:18" s="14" customFormat="1" ht="41.25" customHeight="1">
      <c r="A11" s="55" t="s">
        <v>34</v>
      </c>
      <c r="B11" s="56" t="s">
        <v>42</v>
      </c>
      <c r="C11" s="55" t="s">
        <v>14</v>
      </c>
      <c r="D11" s="55" t="s">
        <v>24</v>
      </c>
      <c r="E11" s="54" t="s">
        <v>22</v>
      </c>
      <c r="F11" s="55">
        <v>8302100000</v>
      </c>
      <c r="G11" s="55" t="s">
        <v>47</v>
      </c>
      <c r="H11" s="52">
        <v>35</v>
      </c>
      <c r="I11" s="57">
        <v>3.8119999999999998</v>
      </c>
      <c r="J11" s="52">
        <v>133.41999999999999</v>
      </c>
      <c r="K11" s="52">
        <f t="shared" si="0"/>
        <v>134.82</v>
      </c>
      <c r="L11" s="52">
        <v>142.6</v>
      </c>
      <c r="M11" s="61">
        <v>7</v>
      </c>
      <c r="N11" s="52" t="s">
        <v>51</v>
      </c>
      <c r="O11" s="52">
        <v>22.14</v>
      </c>
      <c r="P11" s="52">
        <v>774.9</v>
      </c>
      <c r="Q11" s="42" t="s">
        <v>23</v>
      </c>
      <c r="R11" s="58" t="s">
        <v>29</v>
      </c>
    </row>
    <row r="12" spans="1:18" s="14" customFormat="1" ht="41.25" customHeight="1">
      <c r="A12" s="55" t="s">
        <v>35</v>
      </c>
      <c r="B12" s="56" t="s">
        <v>43</v>
      </c>
      <c r="C12" s="55" t="s">
        <v>14</v>
      </c>
      <c r="D12" s="55" t="s">
        <v>24</v>
      </c>
      <c r="E12" s="54" t="s">
        <v>22</v>
      </c>
      <c r="F12" s="55">
        <v>9401908009</v>
      </c>
      <c r="G12" s="55" t="s">
        <v>47</v>
      </c>
      <c r="H12" s="52">
        <v>60</v>
      </c>
      <c r="I12" s="57">
        <v>1.6</v>
      </c>
      <c r="J12" s="52">
        <v>96</v>
      </c>
      <c r="K12" s="52">
        <f t="shared" si="0"/>
        <v>100</v>
      </c>
      <c r="L12" s="52">
        <v>106</v>
      </c>
      <c r="M12" s="61">
        <v>20</v>
      </c>
      <c r="N12" s="52" t="s">
        <v>52</v>
      </c>
      <c r="O12" s="52">
        <v>23.76</v>
      </c>
      <c r="P12" s="52">
        <v>1425.6000000000001</v>
      </c>
      <c r="Q12" s="42" t="s">
        <v>23</v>
      </c>
      <c r="R12" s="58" t="s">
        <v>29</v>
      </c>
    </row>
    <row r="13" spans="1:18" s="14" customFormat="1" ht="41.25" customHeight="1">
      <c r="A13" s="55" t="s">
        <v>36</v>
      </c>
      <c r="B13" s="56" t="s">
        <v>44</v>
      </c>
      <c r="C13" s="55" t="s">
        <v>14</v>
      </c>
      <c r="D13" s="55" t="s">
        <v>24</v>
      </c>
      <c r="E13" s="54" t="s">
        <v>22</v>
      </c>
      <c r="F13" s="55">
        <v>9401908009</v>
      </c>
      <c r="G13" s="55" t="s">
        <v>47</v>
      </c>
      <c r="H13" s="52">
        <v>60</v>
      </c>
      <c r="I13" s="57">
        <v>1.9</v>
      </c>
      <c r="J13" s="52">
        <v>114</v>
      </c>
      <c r="K13" s="52">
        <f t="shared" si="0"/>
        <v>116</v>
      </c>
      <c r="L13" s="52">
        <v>126</v>
      </c>
      <c r="M13" s="61">
        <v>10</v>
      </c>
      <c r="N13" s="52" t="s">
        <v>52</v>
      </c>
      <c r="O13" s="52">
        <v>23.16</v>
      </c>
      <c r="P13" s="52">
        <v>1389.6</v>
      </c>
      <c r="Q13" s="42" t="s">
        <v>23</v>
      </c>
      <c r="R13" s="58" t="s">
        <v>29</v>
      </c>
    </row>
    <row r="14" spans="1:18" s="14" customFormat="1" ht="111.75" customHeight="1">
      <c r="A14" s="55" t="s">
        <v>25</v>
      </c>
      <c r="B14" s="56" t="s">
        <v>26</v>
      </c>
      <c r="C14" s="55" t="s">
        <v>14</v>
      </c>
      <c r="D14" s="55" t="s">
        <v>24</v>
      </c>
      <c r="E14" s="54" t="s">
        <v>22</v>
      </c>
      <c r="F14" s="55">
        <v>3926300000</v>
      </c>
      <c r="G14" s="55" t="s">
        <v>46</v>
      </c>
      <c r="H14" s="52">
        <v>20000</v>
      </c>
      <c r="I14" s="57">
        <v>4.9700000000000001E-2</v>
      </c>
      <c r="J14" s="52">
        <v>994</v>
      </c>
      <c r="K14" s="52">
        <f>J14+0.05*M14</f>
        <v>1034</v>
      </c>
      <c r="L14" s="52">
        <v>1046</v>
      </c>
      <c r="M14" s="61">
        <v>800</v>
      </c>
      <c r="N14" s="52" t="s">
        <v>53</v>
      </c>
      <c r="O14" s="52">
        <v>0.37</v>
      </c>
      <c r="P14" s="52">
        <v>7400</v>
      </c>
      <c r="Q14" s="42" t="s">
        <v>23</v>
      </c>
      <c r="R14" s="58" t="s">
        <v>29</v>
      </c>
    </row>
    <row r="15" spans="1:18" s="14" customFormat="1" ht="41.25" customHeight="1">
      <c r="A15" s="55" t="s">
        <v>25</v>
      </c>
      <c r="B15" s="56" t="s">
        <v>26</v>
      </c>
      <c r="C15" s="55" t="s">
        <v>14</v>
      </c>
      <c r="D15" s="55" t="s">
        <v>24</v>
      </c>
      <c r="E15" s="54" t="s">
        <v>22</v>
      </c>
      <c r="F15" s="55">
        <v>3926300000</v>
      </c>
      <c r="G15" s="55" t="s">
        <v>46</v>
      </c>
      <c r="H15" s="52">
        <v>2000</v>
      </c>
      <c r="I15" s="57">
        <v>4.9700000000000001E-2</v>
      </c>
      <c r="J15" s="52">
        <v>99.4</v>
      </c>
      <c r="K15" s="52">
        <f>J15+0.05*M15</f>
        <v>99.9</v>
      </c>
      <c r="L15" s="52">
        <v>107</v>
      </c>
      <c r="M15" s="61">
        <v>10</v>
      </c>
      <c r="N15" s="52" t="s">
        <v>51</v>
      </c>
      <c r="O15" s="52">
        <v>0.37</v>
      </c>
      <c r="P15" s="52">
        <v>740</v>
      </c>
      <c r="Q15" s="42" t="s">
        <v>23</v>
      </c>
      <c r="R15" s="58" t="s">
        <v>29</v>
      </c>
    </row>
    <row r="16" spans="1:18" s="14" customFormat="1" ht="41.25" customHeight="1" thickBot="1">
      <c r="A16" s="55" t="s">
        <v>37</v>
      </c>
      <c r="B16" s="56" t="s">
        <v>45</v>
      </c>
      <c r="C16" s="55" t="s">
        <v>14</v>
      </c>
      <c r="D16" s="55" t="s">
        <v>24</v>
      </c>
      <c r="E16" s="54" t="s">
        <v>22</v>
      </c>
      <c r="F16" s="55">
        <v>3926300000</v>
      </c>
      <c r="G16" s="55" t="s">
        <v>46</v>
      </c>
      <c r="H16" s="52">
        <v>1000</v>
      </c>
      <c r="I16" s="57">
        <v>1.2999999999999999E-3</v>
      </c>
      <c r="J16" s="52">
        <v>1.3</v>
      </c>
      <c r="K16" s="52">
        <f>J16+0.1*M16</f>
        <v>1.4000000000000001</v>
      </c>
      <c r="L16" s="52">
        <v>1.4</v>
      </c>
      <c r="M16" s="61">
        <v>1</v>
      </c>
      <c r="N16" s="52" t="s">
        <v>54</v>
      </c>
      <c r="O16" s="52">
        <v>0.15</v>
      </c>
      <c r="P16" s="52">
        <v>150</v>
      </c>
      <c r="Q16" s="42" t="s">
        <v>23</v>
      </c>
      <c r="R16" s="58" t="s">
        <v>29</v>
      </c>
    </row>
    <row r="17" spans="1:17" ht="13.5" thickBot="1">
      <c r="A17" s="15" t="s">
        <v>15</v>
      </c>
      <c r="B17" s="16"/>
      <c r="C17" s="17"/>
      <c r="D17" s="17"/>
      <c r="E17" s="18"/>
      <c r="F17" s="50"/>
      <c r="G17" s="51"/>
      <c r="H17" s="53">
        <f>SUM(H7:H16)</f>
        <v>27500</v>
      </c>
      <c r="I17" s="53"/>
      <c r="J17" s="60">
        <f>SUM(J7:J16)</f>
        <v>5028.5839999999998</v>
      </c>
      <c r="K17" s="60">
        <f>SUM(K7:K16)</f>
        <v>5112.6839999999993</v>
      </c>
      <c r="L17" s="60">
        <f>SUM(L7:L16)</f>
        <v>5216</v>
      </c>
      <c r="M17" s="53">
        <f>SUM(M7:M16)</f>
        <v>1216</v>
      </c>
      <c r="N17" s="53">
        <v>12</v>
      </c>
      <c r="O17" s="53"/>
      <c r="P17" s="60">
        <f>SUM(P7:P16)</f>
        <v>31467.799999999996</v>
      </c>
    </row>
    <row r="18" spans="1:17">
      <c r="A18" s="19"/>
      <c r="B18" s="20"/>
      <c r="C18" s="21"/>
      <c r="D18" s="21"/>
      <c r="E18" s="22"/>
      <c r="F18" s="23"/>
      <c r="G18" s="24"/>
      <c r="H18" s="24"/>
      <c r="I18" s="25"/>
      <c r="J18" s="24"/>
      <c r="K18" s="24"/>
      <c r="L18" s="24"/>
      <c r="M18" s="24"/>
      <c r="N18" s="24"/>
      <c r="O18" s="26"/>
    </row>
    <row r="19" spans="1:17" ht="12.75" customHeight="1">
      <c r="A19" s="59" t="s">
        <v>59</v>
      </c>
      <c r="B19" s="49"/>
      <c r="C19" s="27"/>
      <c r="D19" s="27"/>
      <c r="E19" s="27"/>
      <c r="F19" s="28"/>
      <c r="G19" s="27"/>
      <c r="H19" s="29"/>
      <c r="I19" s="30"/>
      <c r="J19" s="31"/>
      <c r="K19" s="31"/>
      <c r="L19" s="32"/>
      <c r="M19" s="24"/>
      <c r="N19" s="24"/>
      <c r="O19" s="26"/>
    </row>
    <row r="20" spans="1:17">
      <c r="A20" s="59" t="s">
        <v>58</v>
      </c>
      <c r="B20" s="49"/>
      <c r="C20" s="27"/>
      <c r="D20" s="27"/>
      <c r="E20" s="27"/>
      <c r="F20" s="28"/>
      <c r="G20" s="27"/>
      <c r="H20" s="29"/>
      <c r="I20" s="30"/>
      <c r="J20" s="31"/>
      <c r="K20" s="31"/>
      <c r="L20" s="32"/>
      <c r="M20" s="24"/>
      <c r="N20" s="24"/>
      <c r="O20" s="26"/>
    </row>
    <row r="21" spans="1:17">
      <c r="A21" s="59" t="s">
        <v>64</v>
      </c>
      <c r="B21" s="49"/>
      <c r="C21" s="27"/>
      <c r="D21" s="27"/>
      <c r="E21" s="27"/>
      <c r="F21" s="28"/>
      <c r="G21" s="27"/>
      <c r="H21" s="29"/>
      <c r="I21" s="30"/>
      <c r="J21" s="31"/>
      <c r="K21" s="31"/>
      <c r="L21" s="32"/>
    </row>
    <row r="22" spans="1:17">
      <c r="A22" s="59" t="s">
        <v>63</v>
      </c>
      <c r="B22" s="49"/>
      <c r="C22" s="27"/>
      <c r="D22" s="27"/>
      <c r="E22" s="27"/>
      <c r="F22" s="28"/>
      <c r="G22" s="33"/>
      <c r="H22" s="35"/>
      <c r="I22" s="36"/>
      <c r="J22" s="37"/>
      <c r="K22" s="37"/>
      <c r="L22" s="37"/>
    </row>
    <row r="23" spans="1:17">
      <c r="A23" s="22" t="s">
        <v>16</v>
      </c>
      <c r="B23" s="43"/>
      <c r="C23" s="33"/>
      <c r="D23" s="33"/>
      <c r="E23" s="33"/>
      <c r="F23" s="34"/>
      <c r="G23" s="33"/>
      <c r="H23" s="35"/>
      <c r="I23" s="36"/>
      <c r="J23" s="37"/>
      <c r="K23" s="37"/>
      <c r="L23" s="37"/>
      <c r="O23" s="38"/>
    </row>
    <row r="24" spans="1:17">
      <c r="A24" s="22" t="s">
        <v>60</v>
      </c>
      <c r="B24" s="43"/>
      <c r="C24" s="33"/>
      <c r="D24" s="33"/>
      <c r="E24" s="33"/>
      <c r="F24" s="34"/>
      <c r="L24" s="38"/>
    </row>
    <row r="25" spans="1:17">
      <c r="A25" s="22" t="s">
        <v>17</v>
      </c>
      <c r="B25" s="43"/>
      <c r="C25" s="33"/>
      <c r="D25" s="33"/>
    </row>
    <row r="26" spans="1:17">
      <c r="A26" s="22" t="s">
        <v>18</v>
      </c>
      <c r="B26" s="44">
        <v>44547</v>
      </c>
      <c r="C26" s="33"/>
      <c r="D26" s="33"/>
      <c r="O26" s="24"/>
    </row>
    <row r="27" spans="1:17">
      <c r="A27" s="22"/>
      <c r="B27" s="44"/>
      <c r="C27" s="33"/>
      <c r="D27" s="33"/>
      <c r="O27" s="24"/>
    </row>
    <row r="28" spans="1:17" ht="15.75" customHeight="1">
      <c r="A28" s="22" t="s">
        <v>19</v>
      </c>
      <c r="B28" s="40"/>
      <c r="F28" s="3"/>
      <c r="G28" s="4"/>
      <c r="H28" s="43"/>
      <c r="I28" s="43"/>
      <c r="J28" s="43"/>
      <c r="K28" s="43"/>
      <c r="L28" s="47" t="s">
        <v>20</v>
      </c>
      <c r="M28" s="47"/>
      <c r="N28" s="41"/>
      <c r="P28" s="24"/>
      <c r="Q28" s="7"/>
    </row>
    <row r="29" spans="1:17" ht="143.25" customHeight="1">
      <c r="A29" s="63" t="s">
        <v>61</v>
      </c>
      <c r="B29" s="63"/>
      <c r="C29" s="63"/>
      <c r="D29" s="63"/>
      <c r="E29" s="46"/>
      <c r="F29" s="46"/>
      <c r="G29" s="46"/>
      <c r="H29" s="46"/>
      <c r="I29" s="46"/>
      <c r="J29" s="46"/>
      <c r="K29" s="46"/>
      <c r="L29" s="62" t="s">
        <v>28</v>
      </c>
      <c r="M29" s="62"/>
      <c r="N29" s="62"/>
      <c r="O29" s="62"/>
      <c r="P29" s="62"/>
      <c r="Q29" s="7"/>
    </row>
    <row r="30" spans="1:17">
      <c r="O30" s="24"/>
    </row>
    <row r="31" spans="1:17">
      <c r="O31" s="24"/>
    </row>
    <row r="32" spans="1:17">
      <c r="H32" s="1"/>
      <c r="O32" s="24"/>
    </row>
    <row r="33" spans="1:16">
      <c r="D33" s="1"/>
      <c r="F33" s="1"/>
      <c r="O33" s="24"/>
    </row>
    <row r="35" spans="1:16">
      <c r="H35" s="4"/>
      <c r="I35" s="39"/>
    </row>
    <row r="36" spans="1:16">
      <c r="H36" s="4"/>
      <c r="I36" s="39"/>
    </row>
    <row r="37" spans="1:16">
      <c r="H37" s="4"/>
      <c r="I37" s="39"/>
    </row>
    <row r="38" spans="1:16">
      <c r="A38" s="5"/>
      <c r="B38" s="5"/>
      <c r="C38" s="5"/>
      <c r="D38" s="5"/>
      <c r="E38" s="5"/>
      <c r="F38" s="5"/>
      <c r="G38" s="5"/>
      <c r="H38" s="4"/>
      <c r="I38" s="39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4"/>
      <c r="I39" s="39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4"/>
      <c r="I40" s="39"/>
      <c r="J40" s="5"/>
      <c r="K40" s="5"/>
      <c r="L40" s="5"/>
      <c r="M40" s="5"/>
      <c r="N40" s="5"/>
      <c r="O40" s="5"/>
      <c r="P40" s="5"/>
    </row>
  </sheetData>
  <autoFilter ref="A6:P26"/>
  <mergeCells count="2">
    <mergeCell ref="L29:P29"/>
    <mergeCell ref="A29:D29"/>
  </mergeCells>
  <printOptions horizontalCentered="1"/>
  <pageMargins left="0" right="0" top="0" bottom="0" header="0" footer="0"/>
  <pageSetup paperSize="9" scale="5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User005</dc:creator>
  <cp:lastModifiedBy>RDGlasatov</cp:lastModifiedBy>
  <cp:lastPrinted>2021-12-23T18:46:45Z</cp:lastPrinted>
  <dcterms:created xsi:type="dcterms:W3CDTF">2019-06-14T07:20:27Z</dcterms:created>
  <dcterms:modified xsi:type="dcterms:W3CDTF">2021-12-26T19:39:20Z</dcterms:modified>
</cp:coreProperties>
</file>