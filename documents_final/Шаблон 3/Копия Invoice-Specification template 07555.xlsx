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РЕГИОНТЕКСТИЛЬ\FLOKSER\07555\"/>
    </mc:Choice>
  </mc:AlternateContent>
  <bookViews>
    <workbookView xWindow="0" yWindow="0" windowWidth="28800" windowHeight="11865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K15" i="1" l="1"/>
  <c r="F16" i="1" l="1"/>
  <c r="G16" i="1" l="1"/>
  <c r="K16" i="1"/>
  <c r="I16" i="1"/>
  <c r="H16" i="1"/>
  <c r="E16" i="1"/>
</calcChain>
</file>

<file path=xl/sharedStrings.xml><?xml version="1.0" encoding="utf-8"?>
<sst xmlns="http://schemas.openxmlformats.org/spreadsheetml/2006/main" count="61" uniqueCount="43">
  <si>
    <t>INVOICE- SPECIFICATION / Счет-СПЕЦИФИКАЦИЯ</t>
  </si>
  <si>
    <t>№:</t>
  </si>
  <si>
    <t>Date / Дата:</t>
  </si>
  <si>
    <t>Получатель по ст. Ворсино - АО «ТАСКОМ»  249020, РФ, Калужская область, Боровский район, село Ворсино, Северная промышленная зона, Владение 6, строение 1</t>
  </si>
  <si>
    <t>Отправитель / Продавец</t>
  </si>
  <si>
    <t>Покупатель</t>
  </si>
  <si>
    <t>Shipper/Seller</t>
  </si>
  <si>
    <t>Buyer</t>
  </si>
  <si>
    <t>Terms of delivery / Условия поставки:</t>
  </si>
  <si>
    <t>Страна назначения:</t>
  </si>
  <si>
    <t>РФ</t>
  </si>
  <si>
    <t xml:space="preserve">Container / Контейнер </t>
  </si>
  <si>
    <t>Станция назначения:</t>
  </si>
  <si>
    <t>Ворсино</t>
  </si>
  <si>
    <t>No.</t>
  </si>
  <si>
    <t>HS Code / 
Код ТН ВЭД ТС</t>
  </si>
  <si>
    <t>Страна происхождения товара</t>
  </si>
  <si>
    <t>Описание товаров/description of goods</t>
  </si>
  <si>
    <t>Net weight kg / Вес нетто кг</t>
  </si>
  <si>
    <t>Gross weight kg / Вес брутто кг</t>
  </si>
  <si>
    <t>Amount / Общая стоимость, USD</t>
  </si>
  <si>
    <t>КНР</t>
  </si>
  <si>
    <t>Total</t>
  </si>
  <si>
    <t>CEO/Генеральный Директор</t>
  </si>
  <si>
    <t>ПЕЧАТЬ/stamp</t>
  </si>
  <si>
    <t>Договор № и дата:</t>
  </si>
  <si>
    <t>Qty mt / Кол-во метров пог.</t>
  </si>
  <si>
    <t>Qty sq mt / Кол-во метров квадратных.</t>
  </si>
  <si>
    <t>Qty of packages / Кол-во мест, рулоны</t>
  </si>
  <si>
    <t xml:space="preserve"> Knitted pile fabric of man-made filaments, with weft pile, for furniture upholstery. Composition: Polyester-100%/ Полотно ворсовое трикотажное из химических нитей, с уточным ворсом, для обивки мебели. Состав: Полиэстер-100%</t>
  </si>
  <si>
    <t>Price per meter / Цена за метр поронный , USD</t>
  </si>
  <si>
    <t>“SM REGIONTEKSTIL'” LLC
143050, MOSCOW REGION, ODINTSOVO DISTRICT, VILLAGE MALYE VYAZYOMY, PETROVSKY PR., POSSESSION 2, BUILDING 2, 4TH FLOOR, ROOM 417  
OGRN 1175024014472      TIN 5032281280     KPP 503201001  //Получатель и покупатель: ООО "СМ РЕГИОНТЕКСТИЛЬ", 143050 РОССИЯ, МОСКОВСКАЯ ОБЛ., Г. ОДИНЦОВО, Д. МАЛЫЕ ВЯЗЕМЫ, ПЕТРОВСКИЙ ПР., ВЛАД. 2, СТР. 2, ПОМЕЩ. 417, 8 (495) 637-90-79   ОГРН 1175024014472     ИНН 5032281280     КПП 503201001</t>
  </si>
  <si>
    <t>TUR-2-FL ОТ 12.12.2018</t>
  </si>
  <si>
    <t>ZHEJIANG HUIFENG WARP KNITTING CO. LTD Address: EAST OF FENGMING  DISTRICT, TONGXIANG CITY, ZHEJIANG PROVINCE, CHINA BY ORDER FLOKSER TEKSTIL SAN TIC, A.S.
TURKEY, ISTANBUL, HADIMKOY, URGUPLU CAD.NO: 7 ARNAVUTKOY//   Отправитель  Джиянг Хуйфенг Варп Найтинг Ко, Лтд Адрес: Ист оф Фенгминг дистрикт， Тогнгсианг， Провинция Джиянг， Китай по поручению продавца Флоксер Текстайл Сан Тик, A.С.
Турция, Стамбул, Хадимкой, Ургуплу кад.: 7 Арнавуткой</t>
  </si>
  <si>
    <t>ООО СМ РЕГИОНТЕКСТИЛЬ</t>
  </si>
  <si>
    <t>Отправитель Китайские железные дороги Международный Мультимодальный Транспорт Ко. Лтд. - отделение Шанхай, Китай, г. Шанхай, ул. Наньцзиньвест, 580, оф. 806</t>
  </si>
  <si>
    <t/>
  </si>
  <si>
    <t>Seller</t>
  </si>
  <si>
    <t xml:space="preserve">                        / Fatih ALTUNYURT /</t>
  </si>
  <si>
    <t xml:space="preserve">      (signature, stamp)</t>
  </si>
  <si>
    <t>Величко И.В.</t>
  </si>
  <si>
    <t>FOB Нингбо/Шанхай(NINGBO//Shanghai)</t>
  </si>
  <si>
    <t>FIH202300000TSY1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</si>
</sst>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_T_L_-;\-* #,##0.00\ _T_L_-;_-* &quot;-&quot;??\ _T_L_-;_-@_-"/>
    <numFmt numFmtId="165" formatCode="0.000_ "/>
    <numFmt numFmtId="166" formatCode="0.00_ "/>
    <numFmt numFmtId="167" formatCode="0.000_);[Red]\(0.000\)"/>
    <numFmt numFmtId="168" formatCode="0.000"/>
  </numFmts>
  <fonts count="25">
    <font>
      <sz val="11"/>
      <color theme="1"/>
      <name val="Calibri"/>
      <family val="2"/>
      <charset val="204"/>
      <scheme val="minor"/>
    </font>
    <font>
      <sz val="10"/>
      <name val="Arial Tur"/>
      <charset val="162"/>
    </font>
    <font>
      <b/>
      <sz val="22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name val="Arial Cyr"/>
      <charset val="204"/>
    </font>
    <font>
      <sz val="11"/>
      <color theme="1"/>
      <name val="Times New Roman"/>
      <family val="2"/>
      <charset val="204"/>
    </font>
    <font>
      <sz val="10"/>
      <color rgb="FFFF0000"/>
      <name val="Times New Roman"/>
      <family val="1"/>
      <charset val="204"/>
    </font>
    <font>
      <sz val="12"/>
      <name val="Times New Roman"/>
      <family val="1"/>
    </font>
    <font>
      <b/>
      <sz val="11"/>
      <color rgb="FF000000"/>
      <name val="Arial"/>
      <family val="2"/>
      <charset val="204"/>
    </font>
    <font>
      <sz val="11"/>
      <color theme="1"/>
      <name val="宋体"/>
      <charset val="134"/>
    </font>
    <font>
      <sz val="12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2"/>
      <color theme="1"/>
      <name val="Times New Roman"/>
      <family val="1"/>
    </font>
    <font>
      <sz val="10"/>
      <color rgb="FF000000"/>
      <name val="宋体"/>
      <charset val="134"/>
    </font>
    <font>
      <sz val="12"/>
      <name val="Times New Roman"/>
      <family val="1"/>
      <charset val="204"/>
    </font>
    <font>
      <sz val="12"/>
      <name val="宋体"/>
      <charset val="134"/>
    </font>
    <font>
      <sz val="12"/>
      <color theme="1"/>
      <name val="宋体"/>
      <charset val="134"/>
    </font>
    <font>
      <sz val="11"/>
      <name val="宋体"/>
      <charset val="134"/>
    </font>
    <font>
      <sz val="12"/>
      <color theme="1"/>
      <name val="Times New Roman"/>
      <family val="1"/>
      <charset val="204"/>
    </font>
    <font>
      <sz val="8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9" fillId="0" borderId="0">
      <alignment vertical="center"/>
    </xf>
    <xf numFmtId="0" fontId="10" fillId="0" borderId="0"/>
    <xf numFmtId="0" fontId="12" fillId="0" borderId="0"/>
    <xf numFmtId="164" fontId="1" fillId="0" borderId="0" applyFont="0" applyFill="0" applyBorder="0" applyAlignment="0" applyProtection="0"/>
    <xf numFmtId="0" fontId="14" fillId="0" borderId="0"/>
  </cellStyleXfs>
  <cellXfs count="79">
    <xf numFmtId="0" fontId="0" fillId="0" borderId="0" xfId="0"/>
    <xf numFmtId="0" fontId="3" fillId="0" borderId="4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 wrapText="1"/>
    </xf>
    <xf numFmtId="0" fontId="5" fillId="0" borderId="6" xfId="1" applyNumberFormat="1" applyFont="1" applyFill="1" applyBorder="1" applyAlignment="1">
      <alignment horizontal="right"/>
    </xf>
    <xf numFmtId="14" fontId="5" fillId="0" borderId="6" xfId="1" applyNumberFormat="1" applyFont="1" applyFill="1" applyBorder="1" applyAlignment="1">
      <alignment horizontal="right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7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/>
    <xf numFmtId="0" fontId="4" fillId="0" borderId="8" xfId="0" applyFont="1" applyFill="1" applyBorder="1" applyAlignment="1"/>
    <xf numFmtId="0" fontId="3" fillId="0" borderId="7" xfId="0" applyFont="1" applyFill="1" applyBorder="1" applyAlignment="1"/>
    <xf numFmtId="0" fontId="3" fillId="0" borderId="0" xfId="0" applyFont="1" applyFill="1" applyBorder="1" applyAlignment="1">
      <alignment vertical="top" wrapText="1"/>
    </xf>
    <xf numFmtId="0" fontId="4" fillId="0" borderId="7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3" fillId="0" borderId="7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/>
    <xf numFmtId="0" fontId="4" fillId="0" borderId="8" xfId="0" applyFont="1" applyFill="1" applyBorder="1" applyAlignment="1">
      <alignment horizontal="left" vertical="center"/>
    </xf>
    <xf numFmtId="0" fontId="5" fillId="0" borderId="7" xfId="2" applyFont="1" applyFill="1" applyBorder="1" applyAlignment="1">
      <alignment vertical="center"/>
    </xf>
    <xf numFmtId="0" fontId="5" fillId="0" borderId="0" xfId="0" applyFont="1" applyFill="1" applyBorder="1" applyAlignment="1"/>
    <xf numFmtId="0" fontId="6" fillId="0" borderId="0" xfId="3" applyFont="1" applyFill="1" applyBorder="1" applyAlignment="1">
      <alignment horizontal="left"/>
    </xf>
    <xf numFmtId="0" fontId="11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2" fontId="3" fillId="0" borderId="5" xfId="0" applyNumberFormat="1" applyFont="1" applyFill="1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5" xfId="4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0" fillId="0" borderId="0" xfId="0" applyAlignment="1">
      <alignment wrapText="1"/>
    </xf>
    <xf numFmtId="0" fontId="15" fillId="0" borderId="0" xfId="6" applyFont="1" applyAlignment="1">
      <alignment horizontal="center"/>
    </xf>
    <xf numFmtId="0" fontId="15" fillId="0" borderId="0" xfId="6" applyFont="1"/>
    <xf numFmtId="0" fontId="15" fillId="0" borderId="0" xfId="6" applyFont="1" applyAlignment="1">
      <alignment horizontal="right"/>
    </xf>
    <xf numFmtId="165" fontId="16" fillId="0" borderId="0" xfId="6" applyNumberFormat="1" applyFont="1" applyAlignment="1">
      <alignment vertical="center"/>
    </xf>
    <xf numFmtId="166" fontId="15" fillId="0" borderId="0" xfId="6" applyNumberFormat="1" applyFont="1" applyAlignment="1">
      <alignment horizontal="right"/>
    </xf>
    <xf numFmtId="0" fontId="16" fillId="0" borderId="0" xfId="6" applyFont="1" applyAlignment="1">
      <alignment vertical="center"/>
    </xf>
    <xf numFmtId="0" fontId="17" fillId="0" borderId="0" xfId="6" applyFont="1"/>
    <xf numFmtId="0" fontId="18" fillId="0" borderId="0" xfId="6" applyFont="1" applyAlignment="1">
      <alignment vertical="center"/>
    </xf>
    <xf numFmtId="0" fontId="0" fillId="0" borderId="0" xfId="0" applyAlignment="1"/>
    <xf numFmtId="0" fontId="19" fillId="0" borderId="0" xfId="6" applyFont="1" applyAlignment="1">
      <alignment horizontal="left"/>
    </xf>
    <xf numFmtId="0" fontId="19" fillId="0" borderId="0" xfId="6" applyFont="1"/>
    <xf numFmtId="0" fontId="19" fillId="0" borderId="0" xfId="6" applyFont="1" applyAlignment="1">
      <alignment horizontal="right"/>
    </xf>
    <xf numFmtId="166" fontId="19" fillId="0" borderId="0" xfId="6" applyNumberFormat="1" applyFont="1"/>
    <xf numFmtId="0" fontId="20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22" fillId="0" borderId="0" xfId="2" applyFont="1" applyAlignment="1"/>
    <xf numFmtId="165" fontId="19" fillId="0" borderId="0" xfId="6" applyNumberFormat="1" applyFont="1" applyAlignment="1">
      <alignment horizontal="right"/>
    </xf>
    <xf numFmtId="0" fontId="23" fillId="0" borderId="0" xfId="6" applyFont="1" applyAlignment="1">
      <alignment horizontal="right"/>
    </xf>
    <xf numFmtId="0" fontId="24" fillId="0" borderId="0" xfId="2" applyFont="1" applyAlignment="1">
      <alignment horizontal="left" vertical="top"/>
    </xf>
    <xf numFmtId="0" fontId="24" fillId="0" borderId="0" xfId="2" applyFont="1" applyAlignment="1">
      <alignment vertical="top"/>
    </xf>
    <xf numFmtId="166" fontId="22" fillId="0" borderId="0" xfId="6" applyNumberFormat="1" applyFont="1"/>
    <xf numFmtId="0" fontId="14" fillId="0" borderId="0" xfId="2" applyFont="1" applyAlignment="1"/>
    <xf numFmtId="166" fontId="0" fillId="0" borderId="0" xfId="0" applyNumberFormat="1" applyAlignment="1"/>
    <xf numFmtId="0" fontId="14" fillId="0" borderId="0" xfId="0" applyFont="1" applyAlignment="1"/>
    <xf numFmtId="167" fontId="0" fillId="0" borderId="0" xfId="0" applyNumberFormat="1" applyAlignment="1"/>
    <xf numFmtId="165" fontId="14" fillId="0" borderId="0" xfId="6" applyNumberFormat="1"/>
    <xf numFmtId="166" fontId="14" fillId="0" borderId="0" xfId="6" applyNumberFormat="1"/>
    <xf numFmtId="166" fontId="15" fillId="0" borderId="5" xfId="6" applyNumberFormat="1" applyFont="1" applyBorder="1" applyAlignment="1">
      <alignment horizontal="center" vertical="center" wrapText="1"/>
    </xf>
    <xf numFmtId="168" fontId="15" fillId="0" borderId="5" xfId="6" applyNumberFormat="1" applyFont="1" applyBorder="1" applyAlignment="1">
      <alignment horizontal="center" vertical="center" wrapText="1"/>
    </xf>
    <xf numFmtId="1" fontId="15" fillId="0" borderId="5" xfId="6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</cellXfs>
  <cellStyles count="7">
    <cellStyle name="Normal 4" xfId="6"/>
    <cellStyle name="Virgül 2" xfId="5"/>
    <cellStyle name="Обычный" xfId="0" builtinId="0"/>
    <cellStyle name="Обычный 2" xfId="2"/>
    <cellStyle name="Обычный 2 2 3" xfId="3"/>
    <cellStyle name="Обычный 2_ИНВ_ПАК_СПЕЦ_MARINECHOICE" xfId="1"/>
    <cellStyle name="Обычный_ШАБЛОН РАСЧЕТА" xfId="4"/>
  </cellStyles>
  <dxfs count="19"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16</xdr:row>
      <xdr:rowOff>161925</xdr:rowOff>
    </xdr:from>
    <xdr:to>
      <xdr:col>2</xdr:col>
      <xdr:colOff>695325</xdr:colOff>
      <xdr:row>23</xdr:row>
      <xdr:rowOff>76200</xdr:rowOff>
    </xdr:to>
    <xdr:pic>
      <xdr:nvPicPr>
        <xdr:cNvPr id="4" name="Рисунок 5" descr="Подпись_0.tmp"/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71575" y="8334375"/>
          <a:ext cx="1362075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30627</xdr:colOff>
      <xdr:row>21</xdr:row>
      <xdr:rowOff>37539</xdr:rowOff>
    </xdr:from>
    <xdr:to>
      <xdr:col>3</xdr:col>
      <xdr:colOff>1199028</xdr:colOff>
      <xdr:row>26</xdr:row>
      <xdr:rowOff>104214</xdr:rowOff>
    </xdr:to>
    <xdr:pic>
      <xdr:nvPicPr>
        <xdr:cNvPr id="5" name="Рисунок 4" descr="Печать_0.tmp"/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EFFFF"/>
            </a:clrFrom>
            <a:clrTo>
              <a:srgbClr val="FE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 rot="21416392">
          <a:off x="1173627" y="7848039"/>
          <a:ext cx="3981077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762000</xdr:colOff>
      <xdr:row>20</xdr:row>
      <xdr:rowOff>56030</xdr:rowOff>
    </xdr:from>
    <xdr:to>
      <xdr:col>7</xdr:col>
      <xdr:colOff>344020</xdr:colOff>
      <xdr:row>24</xdr:row>
      <xdr:rowOff>84605</xdr:rowOff>
    </xdr:to>
    <xdr:pic>
      <xdr:nvPicPr>
        <xdr:cNvPr id="7" name="Рисунок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7235" y="7676030"/>
          <a:ext cx="13525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705970</xdr:colOff>
      <xdr:row>17</xdr:row>
      <xdr:rowOff>22412</xdr:rowOff>
    </xdr:from>
    <xdr:to>
      <xdr:col>9</xdr:col>
      <xdr:colOff>739588</xdr:colOff>
      <xdr:row>27</xdr:row>
      <xdr:rowOff>158095</xdr:rowOff>
    </xdr:to>
    <xdr:pic>
      <xdr:nvPicPr>
        <xdr:cNvPr id="8" name="Рисунок 10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735" y="7014883"/>
          <a:ext cx="1949824" cy="2107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tabSelected="1" topLeftCell="A4" zoomScale="85" zoomScaleNormal="85" workbookViewId="0">
      <selection activeCell="J3" sqref="J3"/>
    </sheetView>
  </sheetViews>
  <sheetFormatPr defaultColWidth="0" defaultRowHeight="15" zeroHeight="1"/>
  <cols>
    <col min="1" max="1" width="17.140625" customWidth="1"/>
    <col min="2" max="2" width="22.42578125" bestFit="1" customWidth="1"/>
    <col min="3" max="3" width="19.85546875" customWidth="1"/>
    <col min="4" max="4" width="32.5703125" customWidth="1"/>
    <col min="5" max="6" width="12" customWidth="1"/>
    <col min="7" max="7" width="14.5703125" bestFit="1" customWidth="1"/>
    <col min="8" max="8" width="13.7109375" customWidth="1"/>
    <col min="9" max="9" width="15" bestFit="1" customWidth="1"/>
    <col min="10" max="10" width="12.28515625" bestFit="1" customWidth="1"/>
    <col min="11" max="11" width="14.28515625" bestFit="1" customWidth="1"/>
    <col min="12" max="16384" width="9.140625" hidden="1"/>
  </cols>
  <sheetData>
    <row r="1" spans="1:11" ht="27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1" t="s">
        <v>25</v>
      </c>
      <c r="B2" s="73" t="s">
        <v>32</v>
      </c>
      <c r="C2" s="73"/>
      <c r="D2" s="2"/>
      <c r="E2" s="3" t="s">
        <v>1</v>
      </c>
      <c r="F2" s="3"/>
      <c r="G2" s="74" t="s">
        <v>42</v>
      </c>
      <c r="H2" s="74"/>
      <c r="I2" s="4" t="s">
        <v>2</v>
      </c>
      <c r="J2" s="75">
        <v>44965</v>
      </c>
      <c r="K2" s="76"/>
    </row>
    <row r="3" spans="1:11">
      <c r="A3" s="5"/>
      <c r="B3" s="6"/>
      <c r="C3" s="7"/>
      <c r="D3" s="8"/>
      <c r="E3" s="9"/>
      <c r="F3" s="9"/>
      <c r="G3" s="10"/>
      <c r="H3" s="11"/>
      <c r="I3" s="12"/>
      <c r="J3" s="12"/>
      <c r="K3" s="13"/>
    </row>
    <row r="4" spans="1:11">
      <c r="A4" s="14" t="s">
        <v>35</v>
      </c>
      <c r="B4" s="6"/>
      <c r="C4" s="7"/>
      <c r="D4" s="8"/>
      <c r="E4" s="9"/>
      <c r="F4" s="10"/>
      <c r="G4" s="11"/>
      <c r="H4" s="12"/>
      <c r="I4" s="12"/>
      <c r="J4" s="13"/>
    </row>
    <row r="5" spans="1:11">
      <c r="A5" s="14" t="s">
        <v>3</v>
      </c>
      <c r="B5" s="6"/>
      <c r="C5" s="7"/>
      <c r="D5" s="8"/>
      <c r="E5" s="9"/>
      <c r="F5" s="10"/>
      <c r="G5" s="11"/>
      <c r="H5" s="12"/>
      <c r="I5" s="12"/>
      <c r="J5" s="13"/>
    </row>
    <row r="6" spans="1:11">
      <c r="A6" s="5"/>
      <c r="B6" s="6"/>
      <c r="C6" s="7"/>
      <c r="D6" s="8"/>
      <c r="E6" s="9"/>
      <c r="F6" s="9"/>
      <c r="G6" s="10"/>
      <c r="H6" s="11"/>
      <c r="I6" s="12"/>
      <c r="J6" s="12"/>
      <c r="K6" s="13"/>
    </row>
    <row r="7" spans="1:11">
      <c r="A7" s="5" t="s">
        <v>4</v>
      </c>
      <c r="B7" s="15"/>
      <c r="C7" s="77" t="s">
        <v>33</v>
      </c>
      <c r="D7" s="77"/>
      <c r="E7" s="6" t="s">
        <v>5</v>
      </c>
      <c r="F7" s="6"/>
      <c r="G7" s="77" t="s">
        <v>31</v>
      </c>
      <c r="H7" s="77"/>
      <c r="I7" s="77"/>
      <c r="J7" s="77"/>
      <c r="K7" s="78"/>
    </row>
    <row r="8" spans="1:11">
      <c r="A8" s="5" t="s">
        <v>6</v>
      </c>
      <c r="B8" s="15"/>
      <c r="C8" s="77"/>
      <c r="D8" s="77"/>
      <c r="E8" s="6" t="s">
        <v>7</v>
      </c>
      <c r="F8" s="6"/>
      <c r="G8" s="77"/>
      <c r="H8" s="77"/>
      <c r="I8" s="77"/>
      <c r="J8" s="77"/>
      <c r="K8" s="78"/>
    </row>
    <row r="9" spans="1:11" ht="158.25" customHeight="1">
      <c r="A9" s="16"/>
      <c r="B9" s="15"/>
      <c r="C9" s="77"/>
      <c r="D9" s="77"/>
      <c r="E9" s="17"/>
      <c r="F9" s="17"/>
      <c r="G9" s="77"/>
      <c r="H9" s="77"/>
      <c r="I9" s="77"/>
      <c r="J9" s="77"/>
      <c r="K9" s="78"/>
    </row>
    <row r="10" spans="1:11">
      <c r="A10" s="18"/>
      <c r="B10" s="19"/>
      <c r="C10" s="19"/>
      <c r="D10" s="19"/>
      <c r="E10" s="19"/>
      <c r="F10" s="19"/>
      <c r="G10" s="12"/>
      <c r="H10" s="12"/>
      <c r="I10" s="19"/>
      <c r="J10" s="19"/>
      <c r="K10" s="20"/>
    </row>
    <row r="11" spans="1:11">
      <c r="A11" s="5" t="s">
        <v>8</v>
      </c>
      <c r="B11" s="10"/>
      <c r="C11" s="6" t="s">
        <v>41</v>
      </c>
      <c r="D11" s="8"/>
      <c r="E11" s="21" t="s">
        <v>9</v>
      </c>
      <c r="F11" s="21"/>
      <c r="G11" s="22"/>
      <c r="H11" s="6" t="s">
        <v>10</v>
      </c>
      <c r="I11" s="22"/>
      <c r="J11" s="10"/>
      <c r="K11" s="23"/>
    </row>
    <row r="12" spans="1:11">
      <c r="A12" s="24" t="s">
        <v>11</v>
      </c>
      <c r="B12" s="10"/>
      <c r="C12" s="6"/>
      <c r="D12" s="8"/>
      <c r="E12" s="25" t="s">
        <v>12</v>
      </c>
      <c r="F12" s="25"/>
      <c r="G12" s="22"/>
      <c r="H12" s="6" t="s">
        <v>13</v>
      </c>
      <c r="I12" s="22"/>
      <c r="J12" s="10"/>
      <c r="K12" s="23"/>
    </row>
    <row r="13" spans="1:11">
      <c r="A13" s="16"/>
      <c r="B13" s="26"/>
      <c r="C13" s="27"/>
      <c r="D13" s="8"/>
      <c r="E13" s="9"/>
      <c r="F13" s="9"/>
      <c r="G13" s="10"/>
      <c r="H13" s="10"/>
      <c r="I13" s="10"/>
      <c r="J13" s="10"/>
      <c r="K13" s="23"/>
    </row>
    <row r="14" spans="1:11" s="37" customFormat="1" ht="80.25" customHeight="1">
      <c r="A14" s="28" t="s">
        <v>14</v>
      </c>
      <c r="B14" s="28" t="s">
        <v>15</v>
      </c>
      <c r="C14" s="29" t="s">
        <v>16</v>
      </c>
      <c r="D14" s="28" t="s">
        <v>17</v>
      </c>
      <c r="E14" s="28" t="s">
        <v>26</v>
      </c>
      <c r="F14" s="28" t="s">
        <v>27</v>
      </c>
      <c r="G14" s="28" t="s">
        <v>28</v>
      </c>
      <c r="H14" s="28" t="s">
        <v>18</v>
      </c>
      <c r="I14" s="29" t="s">
        <v>19</v>
      </c>
      <c r="J14" s="30" t="s">
        <v>30</v>
      </c>
      <c r="K14" s="31" t="s">
        <v>20</v>
      </c>
    </row>
    <row r="15" spans="1:11" s="37" customFormat="1" ht="89.25">
      <c r="A15" s="32">
        <v>1</v>
      </c>
      <c r="B15" s="32">
        <v>6001920000</v>
      </c>
      <c r="C15" s="33" t="s">
        <v>21</v>
      </c>
      <c r="D15" s="34" t="s">
        <v>29</v>
      </c>
      <c r="E15" s="65">
        <v>6809.6</v>
      </c>
      <c r="F15" s="66">
        <f>E15*1.42</f>
        <v>9669.6319999999996</v>
      </c>
      <c r="G15" s="67">
        <v>178</v>
      </c>
      <c r="H15" s="65">
        <v>5154.8999999999996</v>
      </c>
      <c r="I15" s="65">
        <v>5332.9</v>
      </c>
      <c r="J15" s="65">
        <v>6.25</v>
      </c>
      <c r="K15" s="65">
        <f>J15*E15</f>
        <v>42560</v>
      </c>
    </row>
    <row r="16" spans="1:11" ht="15.75">
      <c r="A16" s="32"/>
      <c r="B16" s="68" t="s">
        <v>22</v>
      </c>
      <c r="C16" s="69"/>
      <c r="D16" s="29"/>
      <c r="E16" s="65">
        <f>SUM(E14:E15)</f>
        <v>6809.6</v>
      </c>
      <c r="F16" s="66">
        <f>SUM(F15)</f>
        <v>9669.6319999999996</v>
      </c>
      <c r="G16" s="67">
        <f>SUM(G14:G15)</f>
        <v>178</v>
      </c>
      <c r="H16" s="65">
        <f>SUM(H14:H15)</f>
        <v>5154.8999999999996</v>
      </c>
      <c r="I16" s="65">
        <f>SUM(I14:I15)</f>
        <v>5332.9</v>
      </c>
      <c r="J16" s="65"/>
      <c r="K16" s="65">
        <f>SUM(K14:K15)</f>
        <v>42560</v>
      </c>
    </row>
    <row r="17" spans="1:12">
      <c r="A17" s="12"/>
      <c r="B17" s="12"/>
      <c r="C17" s="17"/>
      <c r="D17" s="35"/>
      <c r="E17" s="17"/>
      <c r="F17" s="17"/>
      <c r="G17" s="12"/>
      <c r="H17" s="12"/>
      <c r="I17" s="12"/>
      <c r="J17" s="12"/>
      <c r="K17" s="12"/>
    </row>
    <row r="18" spans="1:12" s="46" customFormat="1" ht="18.75" customHeight="1">
      <c r="A18" s="38" t="s">
        <v>36</v>
      </c>
      <c r="B18" s="39" t="s">
        <v>36</v>
      </c>
      <c r="C18" s="39" t="s">
        <v>36</v>
      </c>
      <c r="D18" s="40" t="s">
        <v>36</v>
      </c>
      <c r="E18" s="39" t="s">
        <v>36</v>
      </c>
      <c r="F18" s="41" t="s">
        <v>36</v>
      </c>
      <c r="G18" s="42" t="s">
        <v>36</v>
      </c>
      <c r="H18" s="43" t="s">
        <v>36</v>
      </c>
      <c r="I18" s="44" t="s">
        <v>36</v>
      </c>
      <c r="J18" s="39" t="s">
        <v>36</v>
      </c>
      <c r="K18" s="45" t="s">
        <v>36</v>
      </c>
      <c r="L18" s="45" t="s">
        <v>36</v>
      </c>
    </row>
    <row r="19" spans="1:12" s="46" customFormat="1" ht="15.75" customHeight="1">
      <c r="A19" s="38" t="s">
        <v>36</v>
      </c>
      <c r="B19" s="47" t="s">
        <v>36</v>
      </c>
      <c r="C19" s="48"/>
      <c r="D19" s="48" t="s">
        <v>36</v>
      </c>
      <c r="E19" s="49"/>
      <c r="F19" s="50" t="s">
        <v>36</v>
      </c>
      <c r="G19" s="51"/>
      <c r="H19" s="51"/>
      <c r="I19" s="52"/>
      <c r="J19" s="51"/>
      <c r="K19" s="45" t="s">
        <v>36</v>
      </c>
      <c r="L19" s="45" t="s">
        <v>36</v>
      </c>
    </row>
    <row r="20" spans="1:12" s="46" customFormat="1" ht="15.75">
      <c r="A20" s="38" t="s">
        <v>36</v>
      </c>
      <c r="B20" s="47" t="s">
        <v>37</v>
      </c>
      <c r="C20" s="48" t="s">
        <v>38</v>
      </c>
      <c r="D20" s="48"/>
      <c r="E20" s="53"/>
      <c r="F20" s="36" t="s">
        <v>23</v>
      </c>
      <c r="G20" s="17"/>
      <c r="H20" s="17"/>
      <c r="I20" s="55"/>
      <c r="J20" s="54"/>
    </row>
    <row r="21" spans="1:12" s="46" customFormat="1">
      <c r="B21" s="56" t="s">
        <v>39</v>
      </c>
      <c r="C21" s="57"/>
      <c r="D21" s="53"/>
      <c r="E21" s="53"/>
      <c r="F21" s="17" t="s">
        <v>34</v>
      </c>
      <c r="G21" s="17"/>
      <c r="H21" s="17"/>
      <c r="I21" s="59"/>
      <c r="J21" s="58"/>
    </row>
    <row r="22" spans="1:12" s="46" customFormat="1">
      <c r="F22" s="17" t="s">
        <v>40</v>
      </c>
      <c r="G22" s="17"/>
      <c r="H22" s="17"/>
      <c r="I22" s="61"/>
    </row>
    <row r="23" spans="1:12" s="46" customFormat="1">
      <c r="F23" s="17"/>
      <c r="G23" s="17"/>
      <c r="H23" s="17"/>
      <c r="I23" s="61"/>
    </row>
    <row r="24" spans="1:12" s="46" customFormat="1">
      <c r="F24" s="62"/>
      <c r="G24" s="60" t="s">
        <v>24</v>
      </c>
      <c r="I24" s="61"/>
    </row>
    <row r="25" spans="1:12" s="46" customFormat="1">
      <c r="F25" s="63"/>
      <c r="G25" s="64"/>
      <c r="I25" s="61"/>
    </row>
    <row r="26" spans="1:12" s="46" customFormat="1">
      <c r="F26" s="63"/>
      <c r="G26" s="64"/>
      <c r="I26" s="61"/>
    </row>
    <row r="27" spans="1:12" s="46" customFormat="1">
      <c r="F27" s="63"/>
      <c r="G27" s="64"/>
      <c r="I27" s="61"/>
    </row>
    <row r="28" spans="1:12" s="46" customFormat="1">
      <c r="F28" s="63"/>
      <c r="G28" s="64"/>
      <c r="I28" s="61"/>
    </row>
    <row r="29" spans="1:12" s="46" customFormat="1">
      <c r="F29" s="63"/>
      <c r="G29" s="64"/>
      <c r="I29" s="61"/>
    </row>
    <row r="30" spans="1:12"/>
    <row r="31" spans="1:12"/>
    <row r="32" spans="1:12"/>
    <row r="33"/>
    <row r="34"/>
    <row r="35"/>
    <row r="36"/>
    <row r="37"/>
    <row r="38"/>
  </sheetData>
  <mergeCells count="7">
    <mergeCell ref="B16:C16"/>
    <mergeCell ref="A1:K1"/>
    <mergeCell ref="B2:C2"/>
    <mergeCell ref="G2:H2"/>
    <mergeCell ref="J2:K2"/>
    <mergeCell ref="C7:D9"/>
    <mergeCell ref="G7:K9"/>
  </mergeCells>
  <conditionalFormatting sqref="B15 G7:K9 C7 B2 G2 D15:F15">
    <cfRule type="containsBlanks" dxfId="18" priority="30">
      <formula>LEN(TRIM(B2))=0</formula>
    </cfRule>
  </conditionalFormatting>
  <conditionalFormatting sqref="J2:K2">
    <cfRule type="cellIs" dxfId="17" priority="27" operator="greaterThan">
      <formula>TODAY()</formula>
    </cfRule>
    <cfRule type="containsBlanks" dxfId="16" priority="28">
      <formula>LEN(TRIM(J2))=0</formula>
    </cfRule>
  </conditionalFormatting>
  <conditionalFormatting sqref="D3">
    <cfRule type="containsBlanks" priority="26">
      <formula>LEN(TRIM(D3))=0</formula>
    </cfRule>
  </conditionalFormatting>
  <conditionalFormatting sqref="B2:C2 G2:H2 J2:K2 G7:K9 C7:D9 B15 D15:F15">
    <cfRule type="containsBlanks" dxfId="15" priority="25">
      <formula>LEN(TRIM(B2))=0</formula>
    </cfRule>
  </conditionalFormatting>
  <conditionalFormatting sqref="B2:C2 G2:H2 J2:K2 G7:K9 C7:D9 B15 D15:F15">
    <cfRule type="containsBlanks" dxfId="14" priority="24">
      <formula>LEN(TRIM(B2))=0</formula>
    </cfRule>
  </conditionalFormatting>
  <conditionalFormatting sqref="F21">
    <cfRule type="containsBlanks" dxfId="13" priority="16">
      <formula>LEN(TRIM(F21))=0</formula>
    </cfRule>
    <cfRule type="containsBlanks" dxfId="12" priority="17">
      <formula>LEN(TRIM(F21))=0</formula>
    </cfRule>
  </conditionalFormatting>
  <conditionalFormatting sqref="E16:F16">
    <cfRule type="containsBlanks" dxfId="11" priority="15">
      <formula>LEN(TRIM(E16))=0</formula>
    </cfRule>
  </conditionalFormatting>
  <conditionalFormatting sqref="E16:F16">
    <cfRule type="containsBlanks" dxfId="10" priority="14">
      <formula>LEN(TRIM(E16))=0</formula>
    </cfRule>
  </conditionalFormatting>
  <conditionalFormatting sqref="E16:F16">
    <cfRule type="containsBlanks" dxfId="9" priority="13">
      <formula>LEN(TRIM(E16))=0</formula>
    </cfRule>
  </conditionalFormatting>
  <conditionalFormatting sqref="K15">
    <cfRule type="containsBlanks" dxfId="8" priority="9">
      <formula>LEN(TRIM(K15))=0</formula>
    </cfRule>
  </conditionalFormatting>
  <conditionalFormatting sqref="K15">
    <cfRule type="containsBlanks" dxfId="7" priority="8">
      <formula>LEN(TRIM(K15))=0</formula>
    </cfRule>
  </conditionalFormatting>
  <conditionalFormatting sqref="K15">
    <cfRule type="containsBlanks" dxfId="6" priority="7">
      <formula>LEN(TRIM(K15))=0</formula>
    </cfRule>
  </conditionalFormatting>
  <conditionalFormatting sqref="K16">
    <cfRule type="containsBlanks" dxfId="5" priority="6">
      <formula>LEN(TRIM(K16))=0</formula>
    </cfRule>
  </conditionalFormatting>
  <conditionalFormatting sqref="K16">
    <cfRule type="containsBlanks" dxfId="4" priority="5">
      <formula>LEN(TRIM(K16))=0</formula>
    </cfRule>
  </conditionalFormatting>
  <conditionalFormatting sqref="K16">
    <cfRule type="containsBlanks" dxfId="3" priority="4">
      <formula>LEN(TRIM(K16))=0</formula>
    </cfRule>
  </conditionalFormatting>
  <conditionalFormatting sqref="G15:J16">
    <cfRule type="containsBlanks" dxfId="2" priority="3">
      <formula>LEN(TRIM(G15))=0</formula>
    </cfRule>
  </conditionalFormatting>
  <conditionalFormatting sqref="G15:J16">
    <cfRule type="containsBlanks" dxfId="1" priority="2">
      <formula>LEN(TRIM(G15))=0</formula>
    </cfRule>
  </conditionalFormatting>
  <conditionalFormatting sqref="G15:J16">
    <cfRule type="containsBlanks" dxfId="0" priority="1">
      <formula>LEN(TRIM(G15))=0</formula>
    </cfRule>
  </conditionalFormatting>
  <dataValidations count="13">
    <dataValidation allowBlank="1" showInputMessage="1" showErrorMessage="1" promptTitle="Разница" prompt="Вес брутто не может быть менее веса нетто" sqref="I16"/>
    <dataValidation errorStyle="warning" allowBlank="1" showInputMessage="1" showErrorMessage="1" promptTitle="Номер и дата договора" prompt="Данные о договоре между отправителем и покупателем (импортером)" sqref="B2:C2"/>
    <dataValidation allowBlank="1" showInputMessage="1" showErrorMessage="1" promptTitle="Номер документа" prompt="По практике, номер инвойс-спецификации указывается согласно номеру инвойса или на усмотрение клиента._x000a_Но номер не должен иметь формат даты, начинаться с 0 или быть равен 1." sqref="G2:H2"/>
    <dataValidation allowBlank="1" showInputMessage="1" showErrorMessage="1" promptTitle="Дата И-С" prompt="Дата не должна быть позднее даты отправки" sqref="J2:K2"/>
    <dataValidation allowBlank="1" showInputMessage="1" showErrorMessage="1" promptTitle="Инфо об отправителе" prompt="Полное название компании отправителя и юридический адрес" sqref="C7:D9"/>
    <dataValidation allowBlank="1" showInputMessage="1" showErrorMessage="1" promptTitle="Инфо о получателе" prompt="Полное название компании получателя и юридический адрес" sqref="G7:K9"/>
    <dataValidation allowBlank="1" showInputMessage="1" showErrorMessage="1" promptTitle="код ТНВЭД" prompt="для РФ" sqref="B15"/>
    <dataValidation allowBlank="1" showInputMessage="1" showErrorMessage="1" promptTitle="Описание груза" prompt="Заполняется на русском языке._x000a_Для тканей, пленок, грузов в рулонах, стекла и т.д. необходимо обозначение м2." sqref="D15"/>
    <dataValidation allowBlank="1" showInputMessage="1" showErrorMessage="1" promptTitle="Количество мест" prompt="Вид и количество грузовых мест" sqref="G15"/>
    <dataValidation allowBlank="1" showInputMessage="1" showErrorMessage="1" promptTitle="Вес нетто" prompt="Вес груза без веса тары" sqref="H15"/>
    <dataValidation allowBlank="1" showInputMessage="1" showErrorMessage="1" promptTitle="Вес брутто" prompt="Вес груза с весом тары_x000a_Товары имеющие разные коды ТНВЭД не должны иметь одинаковый вес брутто" sqref="I15"/>
    <dataValidation allowBlank="1" showInputMessage="1" showErrorMessage="1" promptTitle="Цена" prompt="Цена товара за шт" sqref="J15"/>
    <dataValidation allowBlank="1" showInputMessage="1" showErrorMessage="1" promptTitle="Стоимость" prompt="Общая стоимость товара в позиции" sqref="K15"/>
  </dataValidations>
  <printOptions horizontalCentered="1" verticalCentered="1"/>
  <pageMargins left="0" right="0" top="0" bottom="0" header="0" footer="0"/>
  <pageSetup paperSize="9" scale="7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93EED248EC80D468A804003FEE8572C" ma:contentTypeVersion="12" ma:contentTypeDescription="Создание документа." ma:contentTypeScope="" ma:versionID="2c6088380b04506406685c8dab4a3776">
  <xsd:schema xmlns:xsd="http://www.w3.org/2001/XMLSchema" xmlns:xs="http://www.w3.org/2001/XMLSchema" xmlns:p="http://schemas.microsoft.com/office/2006/metadata/properties" xmlns:ns2="0a1da54f-2b9f-4484-ae3f-9fe5d499fa9e" xmlns:ns3="f37e8333-5d4a-4a33-93d3-ba174ae4153f" targetNamespace="http://schemas.microsoft.com/office/2006/metadata/properties" ma:root="true" ma:fieldsID="52c25c89aa66e489e80e64f9165a273f" ns2:_="" ns3:_="">
    <xsd:import namespace="0a1da54f-2b9f-4484-ae3f-9fe5d499fa9e"/>
    <xsd:import namespace="f37e8333-5d4a-4a33-93d3-ba174ae41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da54f-2b9f-4484-ae3f-9fe5d499fa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e8333-5d4a-4a33-93d3-ba174ae41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B030EC-FB79-4B25-A827-64DC1D288FAF}">
  <ds:schemaRefs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0a1da54f-2b9f-4484-ae3f-9fe5d499fa9e"/>
    <ds:schemaRef ds:uri="f37e8333-5d4a-4a33-93d3-ba174ae4153f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9CBA2A-9A96-4E23-96CB-7176D77253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0F4495-8037-4A93-A49C-8E77084A1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1da54f-2b9f-4484-ae3f-9fe5d499fa9e"/>
    <ds:schemaRef ds:uri="f37e8333-5d4a-4a33-93d3-ba174ae41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 Room</dc:creator>
  <cp:lastModifiedBy>User005</cp:lastModifiedBy>
  <cp:lastPrinted>2020-12-08T11:38:58Z</cp:lastPrinted>
  <dcterms:created xsi:type="dcterms:W3CDTF">2018-06-27T12:48:38Z</dcterms:created>
  <dcterms:modified xsi:type="dcterms:W3CDTF">2023-02-09T13:34:54Z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0x010100993EED248EC80D468A804003FEE8572C</vt:lpwstr>
  </property>
  <property fmtid="{D5CDD505-2E9C-101B-9397-08002B2CF9AE}" pid="3" name="Order">
    <vt:r8>30702700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