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390" windowWidth="28455" windowHeight="12255"/>
  </bookViews>
  <sheets>
    <sheet name="спецификация" sheetId="1" r:id="rId1"/>
  </sheets>
  <externalReferences>
    <externalReference r:id="rId2"/>
    <externalReference r:id="rId3"/>
    <externalReference r:id="rId4"/>
    <externalReference r:id="rId5"/>
    <externalReference r:id="rId6"/>
  </externalReferences>
  <definedNames>
    <definedName name="_FOR1">#REF!+#REF!</definedName>
    <definedName name="a">[2]Расчет!#REF!</definedName>
    <definedName name="AAAA">#REF!</definedName>
    <definedName name="Betrag">[3]RUSSWERE!#REF!</definedName>
    <definedName name="Data">#REF!</definedName>
    <definedName name="DclHData">#REF!</definedName>
    <definedName name="Gesamt">#REF!</definedName>
    <definedName name="MARIA">[3]RUSSWERE!#REF!</definedName>
    <definedName name="Mehrwertsteuer">[3]RUSSWERE!#REF!</definedName>
    <definedName name="mydet">#REF!</definedName>
    <definedName name="nomer_invoice">#REF!</definedName>
    <definedName name="Z_16AF4AE3_7F7B_11D6_90F3_000021440C3F_.wvu.Cols" hidden="1">#REF!</definedName>
    <definedName name="Z_16AF4AE3_7F7B_11D6_90F3_000021440C3F_.wvu.FilterData" hidden="1">#REF!</definedName>
    <definedName name="Zwischensumme">[3]RUSSWERE!#REF!</definedName>
    <definedName name="акты">#REF!</definedName>
    <definedName name="_xlnm.Database">#REF!</definedName>
    <definedName name="Валюта_инвойса">#REF!</definedName>
    <definedName name="Вес_гр">#REF!</definedName>
    <definedName name="ДанныеПоверх">[4]Общий!$E$2:$E$66</definedName>
    <definedName name="декл">#REF!</definedName>
    <definedName name="зона">'[5]для терм'!$A$36:$J$37,'[5]для терм'!$A$34:$J$34,'[5]для терм'!$A$27:$J$31,'[5]для терм'!$A$22:$J$23,'[5]для терм'!$A$20:$J$20,'[5]для терм'!$A$18:$J$18,'[5]для терм'!$A$16:$J$16,'[5]для терм'!$A$10:$J$13,'[5]для терм'!$A$8:$J$8,'[5]для терм'!$A$6:$J$6,'[5]для терм'!$A$4:$J$4,'[5]для терм'!$A$2:$J$2,'[5]для терм'!$A$1:$J$1</definedName>
    <definedName name="зона2">#REF!,#REF!,#REF!,#REF!,#REF!,#REF!,#REF!,#REF!,#REF!,#REF!,#REF!,#REF!,#REF!,#REF!,#REF!,#REF!,#REF!,#REF!,#REF!,#REF!,#REF!,#REF!,#REF!,#REF!,#REF!,#REF!,#REF!,#REF!,#REF!,#REF!,#REF!</definedName>
    <definedName name="Интервал">#REF!</definedName>
    <definedName name="кк">#REF!</definedName>
    <definedName name="Кор_гр">#REF!</definedName>
    <definedName name="Курсы">#REF!</definedName>
    <definedName name="Номер_TIR">#REF!</definedName>
    <definedName name="номер_инвойса">#REF!</definedName>
    <definedName name="_xlnm.Print_Area" localSheetId="0">спецификация!$A$1:$L$103</definedName>
    <definedName name="ОООО">#REF!</definedName>
    <definedName name="Реквизиты">#REF!</definedName>
    <definedName name="Сертифы">#REF!</definedName>
    <definedName name="строки">#REF!,#REF!,#REF!,#REF!,#REF!</definedName>
    <definedName name="Сумма">#REF!</definedName>
    <definedName name="штучки">#REF!</definedName>
    <definedName name="Экспедиции">#REF!</definedName>
  </definedNames>
  <calcPr calcId="124519" refMode="R1C1"/>
</workbook>
</file>

<file path=xl/calcChain.xml><?xml version="1.0" encoding="utf-8"?>
<calcChain xmlns="http://schemas.openxmlformats.org/spreadsheetml/2006/main">
  <c r="I91" i="1"/>
  <c r="C91"/>
  <c r="F90"/>
  <c r="A90"/>
  <c r="A78"/>
  <c r="A76"/>
  <c r="A72"/>
  <c r="E70"/>
  <c r="E69"/>
  <c r="C69"/>
  <c r="E68"/>
  <c r="C68"/>
  <c r="E67"/>
  <c r="C67"/>
  <c r="E66"/>
  <c r="C66"/>
  <c r="E65"/>
  <c r="C65"/>
  <c r="K63"/>
  <c r="H63"/>
  <c r="F63"/>
  <c r="B63"/>
  <c r="A63"/>
  <c r="K62"/>
  <c r="H62"/>
  <c r="F62"/>
  <c r="B62"/>
  <c r="A62"/>
  <c r="L60"/>
  <c r="H60"/>
  <c r="E60"/>
  <c r="C60"/>
  <c r="L59"/>
  <c r="K59"/>
  <c r="J59"/>
  <c r="I59"/>
  <c r="H59"/>
  <c r="F59"/>
  <c r="E59"/>
  <c r="C59"/>
  <c r="B59"/>
  <c r="A59"/>
  <c r="L58"/>
  <c r="K58"/>
  <c r="J58"/>
  <c r="I58"/>
  <c r="H58"/>
  <c r="F58"/>
  <c r="E58"/>
  <c r="C58"/>
  <c r="B58"/>
  <c r="A58"/>
  <c r="L57"/>
  <c r="K57"/>
  <c r="J57"/>
  <c r="I57"/>
  <c r="H57"/>
  <c r="F57"/>
  <c r="E57"/>
  <c r="C57"/>
  <c r="B57"/>
  <c r="A57"/>
  <c r="L56"/>
  <c r="K56"/>
  <c r="J56"/>
  <c r="I56"/>
  <c r="H56"/>
  <c r="F56"/>
  <c r="E56"/>
  <c r="C56"/>
  <c r="B56"/>
  <c r="A56"/>
  <c r="L55"/>
  <c r="K55"/>
  <c r="J55"/>
  <c r="I55"/>
  <c r="H55"/>
  <c r="F55"/>
  <c r="E55"/>
  <c r="C55"/>
  <c r="B55"/>
  <c r="A55"/>
  <c r="L54"/>
  <c r="K54"/>
  <c r="J54"/>
  <c r="I54"/>
  <c r="H54"/>
  <c r="F54"/>
  <c r="E54"/>
  <c r="C54"/>
  <c r="B54"/>
  <c r="A54"/>
  <c r="L53"/>
  <c r="K53"/>
  <c r="J53"/>
  <c r="I53"/>
  <c r="H53"/>
  <c r="F53"/>
  <c r="E53"/>
  <c r="C53"/>
  <c r="B53"/>
  <c r="A53"/>
  <c r="L52"/>
  <c r="K52"/>
  <c r="J52"/>
  <c r="I52"/>
  <c r="H52"/>
  <c r="F52"/>
  <c r="E52"/>
  <c r="C52"/>
  <c r="B52"/>
  <c r="A52"/>
  <c r="L51"/>
  <c r="K51"/>
  <c r="J51"/>
  <c r="I51"/>
  <c r="H51"/>
  <c r="F51"/>
  <c r="E51"/>
  <c r="C51"/>
  <c r="B51"/>
  <c r="A51"/>
  <c r="L50"/>
  <c r="K50"/>
  <c r="J50"/>
  <c r="I50"/>
  <c r="H50"/>
  <c r="F50"/>
  <c r="E50"/>
  <c r="C50"/>
  <c r="B50"/>
  <c r="A50"/>
  <c r="L49"/>
  <c r="K49"/>
  <c r="J49"/>
  <c r="I49"/>
  <c r="H49"/>
  <c r="F49"/>
  <c r="E49"/>
  <c r="C49"/>
  <c r="B49"/>
  <c r="A49"/>
  <c r="L48"/>
  <c r="K48"/>
  <c r="J48"/>
  <c r="I48"/>
  <c r="H48"/>
  <c r="F48"/>
  <c r="E48"/>
  <c r="C48"/>
  <c r="B48"/>
  <c r="A48"/>
  <c r="L47"/>
  <c r="K47"/>
  <c r="J47"/>
  <c r="I47"/>
  <c r="H47"/>
  <c r="F47"/>
  <c r="E47"/>
  <c r="C47"/>
  <c r="B47"/>
  <c r="A47"/>
  <c r="L46"/>
  <c r="K46"/>
  <c r="J46"/>
  <c r="I46"/>
  <c r="H46"/>
  <c r="F46"/>
  <c r="E46"/>
  <c r="C46"/>
  <c r="B46"/>
  <c r="A46"/>
  <c r="L45"/>
  <c r="K45"/>
  <c r="J45"/>
  <c r="I45"/>
  <c r="H45"/>
  <c r="F45"/>
  <c r="E45"/>
  <c r="C45"/>
  <c r="B45"/>
  <c r="A45"/>
  <c r="L44"/>
  <c r="K44"/>
  <c r="J44"/>
  <c r="I44"/>
  <c r="H44"/>
  <c r="F44"/>
  <c r="E44"/>
  <c r="C44"/>
  <c r="B44"/>
  <c r="A44"/>
  <c r="L43"/>
  <c r="K43"/>
  <c r="J43"/>
  <c r="I43"/>
  <c r="H43"/>
  <c r="F43"/>
  <c r="E43"/>
  <c r="C43"/>
  <c r="B43"/>
  <c r="A43"/>
  <c r="L42"/>
  <c r="K42"/>
  <c r="J42"/>
  <c r="I42"/>
  <c r="H42"/>
  <c r="F42"/>
  <c r="E42"/>
  <c r="C42"/>
  <c r="B42"/>
  <c r="A42"/>
  <c r="L41"/>
  <c r="K41"/>
  <c r="J41"/>
  <c r="I41"/>
  <c r="H41"/>
  <c r="F41"/>
  <c r="E41"/>
  <c r="C41"/>
  <c r="B41"/>
  <c r="A41"/>
  <c r="L40"/>
  <c r="K40"/>
  <c r="J40"/>
  <c r="I40"/>
  <c r="H40"/>
  <c r="F40"/>
  <c r="E40"/>
  <c r="C40"/>
  <c r="B40"/>
  <c r="A40"/>
  <c r="L39"/>
  <c r="K39"/>
  <c r="J39"/>
  <c r="I39"/>
  <c r="H39"/>
  <c r="F39"/>
  <c r="E39"/>
  <c r="C39"/>
  <c r="B39"/>
  <c r="A39"/>
  <c r="L38"/>
  <c r="K38"/>
  <c r="J38"/>
  <c r="I38"/>
  <c r="H38"/>
  <c r="F38"/>
  <c r="E38"/>
  <c r="C38"/>
  <c r="B38"/>
  <c r="A38"/>
  <c r="L37"/>
  <c r="K37"/>
  <c r="J37"/>
  <c r="I37"/>
  <c r="H37"/>
  <c r="F37"/>
  <c r="E37"/>
  <c r="C37"/>
  <c r="B37"/>
  <c r="A37"/>
  <c r="L36"/>
  <c r="K36"/>
  <c r="J36"/>
  <c r="I36"/>
  <c r="H36"/>
  <c r="F36"/>
  <c r="E36"/>
  <c r="C36"/>
  <c r="B36"/>
  <c r="A36"/>
  <c r="L35"/>
  <c r="K35"/>
  <c r="J35"/>
  <c r="I35"/>
  <c r="H35"/>
  <c r="F35"/>
  <c r="E35"/>
  <c r="C35"/>
  <c r="B35"/>
  <c r="A35"/>
  <c r="L34"/>
  <c r="K34"/>
  <c r="J34"/>
  <c r="I34"/>
  <c r="H34"/>
  <c r="F34"/>
  <c r="E34"/>
  <c r="C34"/>
  <c r="B34"/>
  <c r="A34"/>
  <c r="L33"/>
  <c r="K33"/>
  <c r="J33"/>
  <c r="I33"/>
  <c r="H33"/>
  <c r="F33"/>
  <c r="E33"/>
  <c r="C33"/>
  <c r="B33"/>
  <c r="A33"/>
  <c r="L32"/>
  <c r="K32"/>
  <c r="J32"/>
  <c r="I32"/>
  <c r="H32"/>
  <c r="F32"/>
  <c r="E32"/>
  <c r="C32"/>
  <c r="B32"/>
  <c r="A32"/>
  <c r="L31"/>
  <c r="K31"/>
  <c r="J31"/>
  <c r="I31"/>
  <c r="H31"/>
  <c r="F31"/>
  <c r="E31"/>
  <c r="C31"/>
  <c r="B31"/>
  <c r="A31"/>
  <c r="L30"/>
  <c r="K30"/>
  <c r="J30"/>
  <c r="I30"/>
  <c r="H30"/>
  <c r="F30"/>
  <c r="E30"/>
  <c r="C30"/>
  <c r="B30"/>
  <c r="A30"/>
  <c r="L29"/>
  <c r="K29"/>
  <c r="J29"/>
  <c r="I29"/>
  <c r="H29"/>
  <c r="F29"/>
  <c r="E29"/>
  <c r="C29"/>
  <c r="B29"/>
  <c r="A29"/>
  <c r="L28"/>
  <c r="K28"/>
  <c r="J28"/>
  <c r="I28"/>
  <c r="H28"/>
  <c r="F28"/>
  <c r="E28"/>
  <c r="C28"/>
  <c r="B28"/>
  <c r="A28"/>
  <c r="L27"/>
  <c r="K27"/>
  <c r="J27"/>
  <c r="I27"/>
  <c r="H27"/>
  <c r="F27"/>
  <c r="E27"/>
  <c r="C27"/>
  <c r="B27"/>
  <c r="A27"/>
  <c r="L26"/>
  <c r="K26"/>
  <c r="J26"/>
  <c r="I26"/>
  <c r="H26"/>
  <c r="F26"/>
  <c r="E26"/>
  <c r="C26"/>
  <c r="B26"/>
  <c r="A26"/>
  <c r="L25"/>
  <c r="K25"/>
  <c r="J25"/>
  <c r="I25"/>
  <c r="H25"/>
  <c r="F25"/>
  <c r="E25"/>
  <c r="C25"/>
  <c r="B25"/>
  <c r="A25"/>
  <c r="L24"/>
  <c r="K24"/>
  <c r="J24"/>
  <c r="I24"/>
  <c r="H24"/>
  <c r="F24"/>
  <c r="E24"/>
  <c r="C24"/>
  <c r="B24"/>
  <c r="A24"/>
  <c r="L23"/>
  <c r="K23"/>
  <c r="J23"/>
  <c r="I23"/>
  <c r="H23"/>
  <c r="F23"/>
  <c r="E23"/>
  <c r="C23"/>
  <c r="B23"/>
  <c r="A23"/>
  <c r="L22"/>
  <c r="K22"/>
  <c r="J22"/>
  <c r="I22"/>
  <c r="H22"/>
  <c r="F22"/>
  <c r="E22"/>
  <c r="C22"/>
  <c r="B22"/>
  <c r="A22"/>
  <c r="L21"/>
  <c r="K21"/>
  <c r="J21"/>
  <c r="I21"/>
  <c r="H21"/>
  <c r="F21"/>
  <c r="E21"/>
  <c r="C21"/>
  <c r="B21"/>
  <c r="A21"/>
  <c r="L20"/>
  <c r="K20"/>
  <c r="J20"/>
  <c r="I20"/>
  <c r="H20"/>
  <c r="F20"/>
  <c r="E20"/>
  <c r="C20"/>
  <c r="B20"/>
  <c r="A20"/>
  <c r="L19"/>
  <c r="K19"/>
  <c r="J19"/>
  <c r="I19"/>
  <c r="H19"/>
  <c r="F19"/>
  <c r="E19"/>
  <c r="C19"/>
  <c r="B19"/>
  <c r="A19"/>
  <c r="L18"/>
  <c r="K18"/>
  <c r="J18"/>
  <c r="I18"/>
  <c r="H18"/>
  <c r="F18"/>
  <c r="E18"/>
  <c r="C18"/>
  <c r="B18"/>
  <c r="A18"/>
  <c r="L17"/>
  <c r="K17"/>
  <c r="J17"/>
  <c r="I17"/>
  <c r="H17"/>
  <c r="F17"/>
  <c r="E17"/>
  <c r="C17"/>
  <c r="B17"/>
  <c r="A17"/>
  <c r="L16"/>
  <c r="K16"/>
  <c r="J16"/>
  <c r="I16"/>
  <c r="H16"/>
  <c r="F16"/>
  <c r="E16"/>
  <c r="C16"/>
  <c r="B16"/>
  <c r="A16"/>
  <c r="L15"/>
  <c r="K15"/>
  <c r="J15"/>
  <c r="I15"/>
  <c r="H15"/>
  <c r="F15"/>
  <c r="E15"/>
  <c r="C15"/>
  <c r="B15"/>
  <c r="A15"/>
  <c r="L14"/>
  <c r="K14"/>
  <c r="J14"/>
  <c r="I14"/>
  <c r="H14"/>
  <c r="F14"/>
  <c r="E14"/>
  <c r="C14"/>
  <c r="B14"/>
  <c r="A14"/>
  <c r="L13"/>
  <c r="K13"/>
  <c r="J13"/>
  <c r="I13"/>
  <c r="H13"/>
  <c r="F13"/>
  <c r="E13"/>
  <c r="C13"/>
  <c r="B13"/>
  <c r="A13"/>
  <c r="L12"/>
  <c r="K12"/>
  <c r="J12"/>
  <c r="I12"/>
  <c r="H12"/>
  <c r="F12"/>
  <c r="E12"/>
  <c r="C12"/>
  <c r="B12"/>
  <c r="A12"/>
  <c r="L11"/>
  <c r="J11"/>
  <c r="I11"/>
  <c r="H11"/>
  <c r="G11"/>
  <c r="F11"/>
  <c r="E11"/>
  <c r="C11"/>
  <c r="B11"/>
  <c r="A11"/>
  <c r="F9"/>
  <c r="A9"/>
  <c r="F8"/>
  <c r="A8"/>
  <c r="F7"/>
  <c r="A7"/>
  <c r="E5"/>
  <c r="E4"/>
  <c r="C4"/>
  <c r="A2"/>
  <c r="A1"/>
</calcChain>
</file>

<file path=xl/sharedStrings.xml><?xml version="1.0" encoding="utf-8"?>
<sst xmlns="http://schemas.openxmlformats.org/spreadsheetml/2006/main" count="6" uniqueCount="6">
  <si>
    <t>Date:/Дата:</t>
  </si>
  <si>
    <t>Buyer:</t>
  </si>
  <si>
    <t>Покупатель:</t>
  </si>
  <si>
    <t>e-mail:</t>
  </si>
  <si>
    <t xml:space="preserve">The Buyer/Покупатель: </t>
  </si>
  <si>
    <t>The Seller/Продавец:</t>
  </si>
</sst>
</file>

<file path=xl/styles.xml><?xml version="1.0" encoding="utf-8"?>
<styleSheet xmlns="http://schemas.openxmlformats.org/spreadsheetml/2006/main">
  <numFmts count="15">
    <numFmt numFmtId="164" formatCode="[$$-409]#,##0.00"/>
    <numFmt numFmtId="165" formatCode="#,##0.00\ [$USD]"/>
    <numFmt numFmtId="166" formatCode="#,##0.0000"/>
    <numFmt numFmtId="167" formatCode="0.000"/>
    <numFmt numFmtId="168" formatCode="#,##0\ [$USD]"/>
    <numFmt numFmtId="169" formatCode="_-* #,##0\ _р_у_б_._-;\-* #,##0\ _р_у_б_._-;_-* &quot;-&quot;\ _р_у_б_._-;_-@_-"/>
    <numFmt numFmtId="170" formatCode="_-* #,##0.00\ _р_у_б_._-;\-* #,##0.00\ _р_у_б_._-;_-* &quot;-&quot;??\ _р_у_б_._-;_-@_-"/>
    <numFmt numFmtId="171" formatCode="_-* #,##0\ &quot;руб.&quot;_-;\-* #,##0\ &quot;руб.&quot;_-;_-* &quot;-&quot;\ &quot;руб.&quot;_-;_-@_-"/>
    <numFmt numFmtId="172" formatCode="_-* #,##0.00\ &quot;руб.&quot;_-;\-* #,##0.00\ &quot;руб.&quot;_-;_-* &quot;-&quot;??\ &quot;руб.&quot;_-;_-@_-"/>
    <numFmt numFmtId="173" formatCode="_-* #,##0.00_р_._-;\-* #,##0.00_р_._-;_-* &quot;-&quot;??_р_._-;_-@_-"/>
    <numFmt numFmtId="174" formatCode="_-[$€-2]\ * #,##0.00_-;\-[$€-2]\ * #,##0.00_-;_-[$€-2]\ * &quot;-&quot;??_-"/>
    <numFmt numFmtId="175" formatCode="#,##0&quot;.&quot;"/>
    <numFmt numFmtId="176" formatCode="_-* #,##0&quot;р.&quot;_-;\-* #,##0&quot;р.&quot;_-;_-* &quot;-&quot;&quot;р.&quot;_-;_-@_-"/>
    <numFmt numFmtId="177" formatCode="_-* #,##0.00&quot;р.&quot;_-;\-* #,##0.00&quot;р.&quot;_-;_-* &quot;-&quot;??&quot;р.&quot;_-;_-@_-"/>
    <numFmt numFmtId="178" formatCode="_-* #,##0\ &quot;р.&quot;_-;\-* #,##0\ &quot;р.&quot;_-;_-* &quot;-&quot;\ &quot;р.&quot;_-;_-@_-"/>
  </numFmts>
  <fonts count="48">
    <font>
      <sz val="11"/>
      <color theme="1"/>
      <name val="Calibri"/>
      <family val="2"/>
      <charset val="204"/>
      <scheme val="minor"/>
    </font>
    <font>
      <b/>
      <u/>
      <sz val="24"/>
      <color indexed="8"/>
      <name val="Verdana"/>
      <family val="2"/>
      <charset val="204"/>
    </font>
    <font>
      <b/>
      <sz val="11"/>
      <color indexed="8"/>
      <name val="Verdana"/>
      <family val="2"/>
      <charset val="204"/>
    </font>
    <font>
      <b/>
      <sz val="12"/>
      <color indexed="8"/>
      <name val="Verdana"/>
      <family val="2"/>
      <charset val="204"/>
    </font>
    <font>
      <sz val="11"/>
      <color indexed="8"/>
      <name val="Verdana"/>
      <family val="2"/>
      <charset val="204"/>
    </font>
    <font>
      <b/>
      <sz val="14"/>
      <color indexed="8"/>
      <name val="Verdana"/>
      <family val="2"/>
      <charset val="204"/>
    </font>
    <font>
      <b/>
      <i/>
      <sz val="11"/>
      <color indexed="8"/>
      <name val="Verdana"/>
      <family val="2"/>
      <charset val="204"/>
    </font>
    <font>
      <u/>
      <sz val="11"/>
      <color indexed="8"/>
      <name val="Verdana"/>
      <family val="2"/>
      <charset val="204"/>
    </font>
    <font>
      <sz val="11"/>
      <name val="Verdana"/>
      <family val="2"/>
      <charset val="204"/>
    </font>
    <font>
      <sz val="10"/>
      <color indexed="8"/>
      <name val="Times New Roman"/>
      <family val="1"/>
      <charset val="204"/>
    </font>
    <font>
      <sz val="10"/>
      <name val="Arial"/>
      <family val="2"/>
      <charset val="204"/>
    </font>
    <font>
      <sz val="10"/>
      <name val="Helv"/>
    </font>
    <font>
      <sz val="10"/>
      <name val="Helv"/>
      <family val="2"/>
    </font>
    <font>
      <sz val="10"/>
      <color indexed="8"/>
      <name val="MS Sans Serif"/>
      <family val="2"/>
      <charset val="204"/>
    </font>
    <font>
      <sz val="10"/>
      <name val="Arial"/>
      <family val="2"/>
    </font>
    <font>
      <sz val="10"/>
      <name val="Helv"/>
      <charset val="204"/>
    </font>
    <font>
      <sz val="10"/>
      <name val="Arial Cyr"/>
      <charset val="204"/>
    </font>
    <font>
      <sz val="12"/>
      <name val="宋体"/>
      <charset val="134"/>
    </font>
    <font>
      <sz val="12"/>
      <name val="宋体"/>
      <family val="3"/>
      <charset val="134"/>
    </font>
    <font>
      <sz val="11"/>
      <color indexed="8"/>
      <name val="宋体"/>
      <charset val="134"/>
    </font>
    <font>
      <sz val="11"/>
      <color indexed="9"/>
      <name val="宋体"/>
      <charset val="134"/>
    </font>
    <font>
      <b/>
      <sz val="11"/>
      <name val="Times New Roman CYR"/>
      <family val="1"/>
      <charset val="204"/>
    </font>
    <font>
      <b/>
      <sz val="10"/>
      <name val="Arial"/>
      <family val="2"/>
      <charset val="204"/>
    </font>
    <font>
      <sz val="8"/>
      <name val="Helv"/>
    </font>
    <font>
      <sz val="10"/>
      <name val="Arial CE"/>
      <charset val="238"/>
    </font>
    <font>
      <b/>
      <sz val="10"/>
      <name val="Arial"/>
      <family val="2"/>
    </font>
    <font>
      <b/>
      <sz val="10"/>
      <name val="Arial Cyr"/>
      <family val="2"/>
      <charset val="204"/>
    </font>
    <font>
      <sz val="10"/>
      <name val="Arial Cyr"/>
    </font>
    <font>
      <sz val="10"/>
      <color indexed="8"/>
      <name val="Arial"/>
      <family val="2"/>
      <charset val="204"/>
    </font>
    <font>
      <sz val="12"/>
      <color indexed="8"/>
      <name val="굴림"/>
      <family val="3"/>
      <charset val="129"/>
    </font>
    <font>
      <sz val="12"/>
      <name val="新細明體"/>
      <family val="1"/>
      <charset val="136"/>
    </font>
    <font>
      <sz val="11"/>
      <color indexed="17"/>
      <name val="宋体"/>
      <charset val="134"/>
    </font>
    <font>
      <sz val="11"/>
      <color indexed="20"/>
      <name val="宋体"/>
      <charset val="134"/>
    </font>
    <font>
      <sz val="10"/>
      <color indexed="8"/>
      <name val="Arial"/>
      <family val="2"/>
    </font>
    <font>
      <b/>
      <sz val="18"/>
      <color indexed="56"/>
      <name val="宋体"/>
      <charset val="134"/>
    </font>
    <font>
      <b/>
      <sz val="15"/>
      <color indexed="56"/>
      <name val="宋体"/>
      <charset val="134"/>
    </font>
    <font>
      <b/>
      <sz val="13"/>
      <color indexed="56"/>
      <name val="宋体"/>
      <charset val="134"/>
    </font>
    <font>
      <b/>
      <sz val="11"/>
      <color indexed="56"/>
      <name val="宋体"/>
      <charset val="134"/>
    </font>
    <font>
      <b/>
      <sz val="11"/>
      <color indexed="9"/>
      <name val="宋体"/>
      <charset val="134"/>
    </font>
    <font>
      <sz val="10"/>
      <name val="ＭＳ 明朝"/>
      <family val="1"/>
      <charset val="128"/>
    </font>
    <font>
      <b/>
      <sz val="11"/>
      <color indexed="8"/>
      <name val="宋体"/>
      <charset val="134"/>
    </font>
    <font>
      <i/>
      <sz val="11"/>
      <color indexed="23"/>
      <name val="宋体"/>
      <charset val="134"/>
    </font>
    <font>
      <sz val="11"/>
      <color indexed="10"/>
      <name val="宋体"/>
      <charset val="134"/>
    </font>
    <font>
      <b/>
      <sz val="11"/>
      <color indexed="52"/>
      <name val="宋体"/>
      <charset val="134"/>
    </font>
    <font>
      <sz val="11"/>
      <color indexed="62"/>
      <name val="宋体"/>
      <charset val="134"/>
    </font>
    <font>
      <b/>
      <sz val="11"/>
      <color indexed="63"/>
      <name val="宋体"/>
      <charset val="134"/>
    </font>
    <font>
      <sz val="11"/>
      <color indexed="60"/>
      <name val="宋体"/>
      <charset val="134"/>
    </font>
    <font>
      <sz val="11"/>
      <color indexed="52"/>
      <name val="宋体"/>
      <charset val="134"/>
    </font>
  </fonts>
  <fills count="26">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9"/>
        <bgColor indexed="64"/>
      </patternFill>
    </fill>
    <fill>
      <patternFill patternType="solid">
        <fgColor indexed="42"/>
        <bgColor indexed="64"/>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55"/>
        <bgColor indexed="23"/>
      </patternFill>
    </fill>
    <fill>
      <patternFill patternType="solid">
        <fgColor indexed="26"/>
        <bgColor indexed="9"/>
      </patternFill>
    </fill>
    <fill>
      <patternFill patternType="solid">
        <fgColor indexed="22"/>
        <bgColor indexed="31"/>
      </patternFill>
    </fill>
    <fill>
      <patternFill patternType="solid">
        <fgColor indexed="43"/>
        <bgColor indexed="26"/>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diagonalUp="1" diagonalDown="1">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s>
  <cellStyleXfs count="216">
    <xf numFmtId="0" fontId="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11" fillId="0" borderId="0"/>
    <xf numFmtId="0" fontId="12" fillId="0" borderId="0"/>
    <xf numFmtId="0" fontId="11" fillId="0" borderId="0"/>
    <xf numFmtId="0" fontId="12" fillId="0" borderId="0"/>
    <xf numFmtId="0" fontId="11" fillId="0" borderId="0"/>
    <xf numFmtId="0" fontId="11" fillId="0" borderId="0"/>
    <xf numFmtId="0" fontId="13" fillId="0" borderId="0"/>
    <xf numFmtId="0" fontId="14" fillId="0" borderId="0"/>
    <xf numFmtId="0" fontId="11" fillId="0" borderId="0"/>
    <xf numFmtId="0" fontId="14" fillId="0" borderId="0"/>
    <xf numFmtId="0" fontId="12" fillId="0" borderId="0"/>
    <xf numFmtId="0" fontId="11" fillId="0" borderId="0"/>
    <xf numFmtId="0" fontId="11" fillId="0" borderId="0"/>
    <xf numFmtId="0" fontId="11" fillId="0" borderId="0"/>
    <xf numFmtId="0" fontId="10" fillId="0" borderId="0"/>
    <xf numFmtId="0" fontId="12" fillId="0" borderId="0"/>
    <xf numFmtId="0" fontId="11" fillId="0" borderId="0"/>
    <xf numFmtId="0" fontId="12" fillId="0" borderId="0"/>
    <xf numFmtId="0" fontId="11" fillId="0" borderId="0"/>
    <xf numFmtId="0" fontId="11" fillId="0" borderId="0"/>
    <xf numFmtId="0" fontId="11" fillId="0" borderId="0"/>
    <xf numFmtId="0" fontId="12" fillId="0" borderId="0"/>
    <xf numFmtId="0" fontId="11" fillId="0" borderId="0"/>
    <xf numFmtId="0" fontId="14" fillId="0" borderId="0"/>
    <xf numFmtId="0" fontId="11" fillId="0" borderId="0"/>
    <xf numFmtId="0" fontId="11" fillId="0" borderId="0"/>
    <xf numFmtId="0" fontId="10" fillId="0" borderId="0"/>
    <xf numFmtId="0" fontId="11" fillId="0" borderId="0"/>
    <xf numFmtId="0" fontId="13" fillId="0" borderId="0"/>
    <xf numFmtId="0" fontId="11" fillId="0" borderId="0"/>
    <xf numFmtId="0" fontId="13" fillId="0" borderId="0"/>
    <xf numFmtId="0" fontId="13" fillId="0" borderId="0"/>
    <xf numFmtId="0" fontId="13" fillId="0" borderId="0"/>
    <xf numFmtId="0" fontId="15" fillId="0" borderId="0"/>
    <xf numFmtId="0" fontId="13" fillId="0" borderId="0"/>
    <xf numFmtId="0" fontId="13" fillId="0" borderId="0"/>
    <xf numFmtId="0" fontId="10" fillId="0" borderId="0"/>
    <xf numFmtId="0" fontId="11" fillId="0" borderId="0"/>
    <xf numFmtId="0" fontId="11" fillId="0" borderId="0"/>
    <xf numFmtId="0" fontId="11" fillId="0" borderId="0"/>
    <xf numFmtId="0" fontId="16" fillId="0" borderId="0"/>
    <xf numFmtId="0" fontId="12" fillId="0" borderId="0"/>
    <xf numFmtId="0" fontId="1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1" fillId="0" borderId="0"/>
    <xf numFmtId="0" fontId="10" fillId="0" borderId="0"/>
    <xf numFmtId="0" fontId="11" fillId="0" borderId="0"/>
    <xf numFmtId="0" fontId="11" fillId="0" borderId="0"/>
    <xf numFmtId="0" fontId="10" fillId="0" borderId="0"/>
    <xf numFmtId="0" fontId="10" fillId="0" borderId="0"/>
    <xf numFmtId="0" fontId="10" fillId="0" borderId="0"/>
    <xf numFmtId="0" fontId="11" fillId="0" borderId="0"/>
    <xf numFmtId="0" fontId="11" fillId="0" borderId="0"/>
    <xf numFmtId="0" fontId="11" fillId="0" borderId="0"/>
    <xf numFmtId="0" fontId="11" fillId="0" borderId="0"/>
    <xf numFmtId="0" fontId="10" fillId="0" borderId="0" applyNumberFormat="0" applyFill="0" applyBorder="0" applyAlignment="0" applyProtection="0"/>
    <xf numFmtId="0" fontId="10" fillId="0" borderId="0" applyNumberFormat="0" applyFill="0" applyBorder="0" applyAlignment="0" applyProtection="0"/>
    <xf numFmtId="0" fontId="11" fillId="0" borderId="0"/>
    <xf numFmtId="0" fontId="11" fillId="0" borderId="0"/>
    <xf numFmtId="0" fontId="11" fillId="0" borderId="0"/>
    <xf numFmtId="0" fontId="11" fillId="0" borderId="0"/>
    <xf numFmtId="0" fontId="15" fillId="0" borderId="0"/>
    <xf numFmtId="0" fontId="15" fillId="0" borderId="0"/>
    <xf numFmtId="0" fontId="11" fillId="0" borderId="0"/>
    <xf numFmtId="0" fontId="15" fillId="0" borderId="0"/>
    <xf numFmtId="0" fontId="13" fillId="0" borderId="0"/>
    <xf numFmtId="0" fontId="15" fillId="0" borderId="0"/>
    <xf numFmtId="0" fontId="15" fillId="0" borderId="0"/>
    <xf numFmtId="0" fontId="15" fillId="0" borderId="0"/>
    <xf numFmtId="0" fontId="12" fillId="0" borderId="0"/>
    <xf numFmtId="0" fontId="11" fillId="0" borderId="0"/>
    <xf numFmtId="0" fontId="1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5" fillId="0" borderId="0"/>
    <xf numFmtId="0" fontId="11" fillId="0" borderId="0"/>
    <xf numFmtId="0" fontId="11" fillId="0" borderId="0"/>
    <xf numFmtId="0" fontId="10" fillId="0" borderId="0"/>
    <xf numFmtId="0" fontId="11" fillId="0" borderId="0"/>
    <xf numFmtId="0" fontId="1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17" fillId="0" borderId="0"/>
    <xf numFmtId="0" fontId="18" fillId="0" borderId="0"/>
    <xf numFmtId="0" fontId="18" fillId="0" borderId="0"/>
    <xf numFmtId="0" fontId="19" fillId="2" borderId="0" applyNumberFormat="0" applyBorder="0" applyAlignment="0" applyProtection="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5" borderId="0" applyNumberFormat="0" applyBorder="0" applyAlignment="0" applyProtection="0"/>
    <xf numFmtId="0" fontId="19" fillId="8" borderId="0" applyNumberFormat="0" applyBorder="0" applyAlignment="0" applyProtection="0"/>
    <xf numFmtId="0" fontId="19" fillId="11" borderId="0" applyNumberFormat="0" applyBorder="0" applyAlignment="0" applyProtection="0"/>
    <xf numFmtId="0" fontId="20" fillId="12"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14" fillId="0" borderId="0"/>
    <xf numFmtId="0" fontId="14" fillId="0" borderId="7" quotePrefix="1">
      <alignment horizontal="justify" vertical="justify" textRotation="127" wrapText="1" justifyLastLine="1"/>
      <protection hidden="1"/>
    </xf>
    <xf numFmtId="169" fontId="10" fillId="0" borderId="0" applyFont="0" applyFill="0" applyBorder="0" applyAlignment="0" applyProtection="0"/>
    <xf numFmtId="170" fontId="10" fillId="0" borderId="0" applyFont="0" applyFill="0" applyBorder="0" applyAlignment="0" applyProtection="0"/>
    <xf numFmtId="171" fontId="10" fillId="0" borderId="0" applyFont="0" applyFill="0" applyBorder="0" applyAlignment="0" applyProtection="0"/>
    <xf numFmtId="172" fontId="10" fillId="0" borderId="0" applyFont="0" applyFill="0" applyBorder="0" applyAlignment="0" applyProtection="0"/>
    <xf numFmtId="173" fontId="10" fillId="0" borderId="0" applyFont="0" applyFill="0" applyBorder="0" applyAlignment="0" applyProtection="0"/>
    <xf numFmtId="174" fontId="10" fillId="0" borderId="0" applyFont="0" applyFill="0" applyBorder="0" applyAlignment="0" applyProtection="0"/>
    <xf numFmtId="0" fontId="14" fillId="0" borderId="0"/>
    <xf numFmtId="0" fontId="21" fillId="0" borderId="0">
      <alignment horizontal="left" wrapText="1"/>
    </xf>
    <xf numFmtId="2" fontId="22" fillId="16" borderId="0"/>
    <xf numFmtId="0" fontId="16" fillId="0" borderId="0"/>
    <xf numFmtId="0" fontId="10" fillId="0" borderId="0"/>
    <xf numFmtId="0" fontId="23" fillId="0" borderId="0"/>
    <xf numFmtId="0" fontId="24" fillId="0" borderId="0"/>
    <xf numFmtId="0" fontId="14" fillId="0" borderId="0" applyNumberFormat="0" applyFont="0" applyFill="0" applyBorder="0" applyProtection="0">
      <alignment horizontal="left" vertical="top" wrapText="1"/>
    </xf>
    <xf numFmtId="0" fontId="25" fillId="0" borderId="0" applyNumberFormat="0" applyFont="0" applyFill="0" applyBorder="0" applyProtection="0">
      <alignment horizontal="right" wrapText="1"/>
    </xf>
    <xf numFmtId="39" fontId="25" fillId="0" borderId="0" applyFont="0" applyFill="0" applyBorder="0" applyAlignment="0" applyProtection="0">
      <alignment horizontal="center"/>
    </xf>
    <xf numFmtId="0" fontId="15" fillId="0" borderId="0"/>
    <xf numFmtId="0" fontId="26" fillId="17" borderId="1">
      <alignment horizontal="center" vertical="center" wrapText="1"/>
    </xf>
    <xf numFmtId="4" fontId="16" fillId="0" borderId="1">
      <alignment horizontal="right" vertical="center"/>
    </xf>
    <xf numFmtId="3" fontId="16" fillId="0" borderId="1">
      <alignment vertical="center"/>
    </xf>
    <xf numFmtId="175" fontId="16" fillId="0" borderId="1">
      <alignment horizontal="right" vertical="center"/>
    </xf>
    <xf numFmtId="49" fontId="16" fillId="0" borderId="1">
      <alignment horizontal="left" vertical="center" wrapText="1"/>
    </xf>
    <xf numFmtId="4" fontId="26" fillId="17" borderId="1">
      <alignment vertical="center"/>
    </xf>
    <xf numFmtId="176" fontId="10" fillId="0" borderId="0" applyFont="0" applyFill="0" applyBorder="0" applyAlignment="0" applyProtection="0"/>
    <xf numFmtId="177" fontId="10"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7" fontId="16" fillId="0" borderId="0" applyFont="0" applyFill="0" applyBorder="0" applyAlignment="0" applyProtection="0"/>
    <xf numFmtId="0" fontId="10" fillId="0" borderId="0"/>
    <xf numFmtId="0" fontId="10" fillId="0" borderId="0"/>
    <xf numFmtId="0" fontId="16" fillId="0" borderId="0"/>
    <xf numFmtId="0" fontId="17" fillId="0" borderId="0"/>
    <xf numFmtId="0" fontId="28" fillId="0" borderId="0">
      <alignment vertical="center"/>
    </xf>
    <xf numFmtId="0" fontId="10" fillId="0" borderId="0"/>
    <xf numFmtId="0" fontId="11" fillId="0" borderId="0"/>
    <xf numFmtId="173" fontId="16" fillId="0" borderId="0" applyFont="0" applyFill="0" applyBorder="0" applyAlignment="0" applyProtection="0"/>
    <xf numFmtId="0" fontId="29" fillId="0" borderId="0"/>
    <xf numFmtId="0" fontId="30" fillId="0" borderId="0"/>
    <xf numFmtId="0" fontId="31" fillId="4" borderId="0" applyNumberFormat="0" applyBorder="0" applyAlignment="0" applyProtection="0"/>
    <xf numFmtId="0" fontId="32" fillId="3" borderId="0" applyNumberFormat="0" applyBorder="0" applyAlignment="0" applyProtection="0"/>
    <xf numFmtId="0" fontId="33" fillId="0" borderId="0">
      <alignment vertical="top"/>
    </xf>
    <xf numFmtId="0" fontId="18" fillId="0" borderId="0"/>
    <xf numFmtId="0" fontId="17" fillId="0" borderId="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0" fillId="21" borderId="0" applyNumberFormat="0" applyBorder="0" applyAlignment="0" applyProtection="0"/>
    <xf numFmtId="0" fontId="34" fillId="0" borderId="0" applyNumberFormat="0" applyFill="0" applyBorder="0" applyAlignment="0" applyProtection="0"/>
    <xf numFmtId="0" fontId="35" fillId="0" borderId="8" applyNumberFormat="0" applyFill="0" applyAlignment="0" applyProtection="0"/>
    <xf numFmtId="0" fontId="36" fillId="0" borderId="9" applyNumberFormat="0" applyFill="0" applyAlignment="0" applyProtection="0"/>
    <xf numFmtId="0" fontId="37" fillId="0" borderId="10" applyNumberFormat="0" applyFill="0" applyAlignment="0" applyProtection="0"/>
    <xf numFmtId="0" fontId="37" fillId="0" borderId="0" applyNumberFormat="0" applyFill="0" applyBorder="0" applyAlignment="0" applyProtection="0"/>
    <xf numFmtId="0" fontId="38" fillId="22" borderId="11" applyNumberFormat="0" applyAlignment="0" applyProtection="0"/>
    <xf numFmtId="3" fontId="39" fillId="0" borderId="0"/>
    <xf numFmtId="0" fontId="40" fillId="0" borderId="12" applyNumberFormat="0" applyFill="0" applyAlignment="0" applyProtection="0"/>
    <xf numFmtId="0" fontId="17" fillId="23" borderId="13"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43" fillId="24" borderId="14" applyNumberFormat="0" applyAlignment="0" applyProtection="0"/>
    <xf numFmtId="0" fontId="44" fillId="7" borderId="14" applyNumberFormat="0" applyAlignment="0" applyProtection="0"/>
    <xf numFmtId="0" fontId="45" fillId="24" borderId="15" applyNumberFormat="0" applyAlignment="0" applyProtection="0"/>
    <xf numFmtId="0" fontId="46" fillId="25" borderId="0" applyNumberFormat="0" applyBorder="0" applyAlignment="0" applyProtection="0"/>
    <xf numFmtId="0" fontId="47" fillId="0" borderId="16" applyNumberFormat="0" applyFill="0" applyAlignment="0" applyProtection="0"/>
  </cellStyleXfs>
  <cellXfs count="71">
    <xf numFmtId="0" fontId="0" fillId="0" borderId="0" xfId="0"/>
    <xf numFmtId="0" fontId="1" fillId="0" borderId="0" xfId="0" applyFont="1" applyAlignment="1">
      <alignment horizontal="center"/>
    </xf>
    <xf numFmtId="0" fontId="2" fillId="0" borderId="0" xfId="0" applyFont="1"/>
    <xf numFmtId="0" fontId="3" fillId="0" borderId="0" xfId="0" applyFont="1" applyAlignment="1">
      <alignment horizontal="center"/>
    </xf>
    <xf numFmtId="0" fontId="4" fillId="0" borderId="0" xfId="0" applyFont="1"/>
    <xf numFmtId="0" fontId="2" fillId="0" borderId="0" xfId="0" applyFont="1" applyAlignment="1">
      <alignment horizontal="left"/>
    </xf>
    <xf numFmtId="0" fontId="3" fillId="0" borderId="0" xfId="0" applyFont="1" applyAlignment="1"/>
    <xf numFmtId="0" fontId="2" fillId="0" borderId="0" xfId="0" applyFont="1" applyAlignment="1"/>
    <xf numFmtId="164" fontId="4" fillId="0" borderId="0" xfId="0" applyNumberFormat="1" applyFont="1"/>
    <xf numFmtId="0" fontId="4" fillId="0" borderId="0" xfId="0" applyFont="1" applyAlignment="1">
      <alignment horizontal="right"/>
    </xf>
    <xf numFmtId="0" fontId="5" fillId="0" borderId="0" xfId="0" applyFont="1" applyAlignment="1"/>
    <xf numFmtId="14" fontId="3" fillId="0" borderId="0" xfId="0" applyNumberFormat="1" applyFont="1" applyAlignment="1"/>
    <xf numFmtId="14" fontId="3" fillId="0" borderId="0" xfId="0" applyNumberFormat="1" applyFont="1" applyAlignment="1">
      <alignment horizontal="left"/>
    </xf>
    <xf numFmtId="0" fontId="4" fillId="0" borderId="0" xfId="0" applyFont="1" applyAlignment="1">
      <alignment horizontal="left"/>
    </xf>
    <xf numFmtId="164" fontId="4" fillId="0" borderId="0" xfId="0" applyNumberFormat="1" applyFont="1" applyAlignment="1">
      <alignment horizontal="center"/>
    </xf>
    <xf numFmtId="14" fontId="2" fillId="0" borderId="0" xfId="0" applyNumberFormat="1" applyFont="1" applyAlignment="1">
      <alignment horizontal="left"/>
    </xf>
    <xf numFmtId="164" fontId="2" fillId="0" borderId="0" xfId="0" applyNumberFormat="1" applyFont="1" applyAlignment="1">
      <alignment horizontal="left"/>
    </xf>
    <xf numFmtId="164" fontId="2" fillId="0" borderId="0" xfId="0" applyNumberFormat="1" applyFont="1"/>
    <xf numFmtId="0" fontId="4" fillId="0" borderId="0" xfId="0" applyFont="1" applyAlignment="1"/>
    <xf numFmtId="14" fontId="4" fillId="0" borderId="0" xfId="0" applyNumberFormat="1" applyFont="1" applyAlignment="1">
      <alignment horizontal="left"/>
    </xf>
    <xf numFmtId="164" fontId="4" fillId="0" borderId="0" xfId="0" applyNumberFormat="1" applyFont="1" applyAlignment="1">
      <alignment horizontal="left"/>
    </xf>
    <xf numFmtId="0" fontId="4" fillId="0" borderId="0" xfId="0" applyFont="1" applyAlignment="1">
      <alignment horizontal="center"/>
    </xf>
    <xf numFmtId="0" fontId="6" fillId="0" borderId="0" xfId="0" quotePrefix="1" applyFont="1" applyAlignment="1">
      <alignment horizontal="center"/>
    </xf>
    <xf numFmtId="0" fontId="7" fillId="0" borderId="0" xfId="0" applyFont="1"/>
    <xf numFmtId="0" fontId="7" fillId="0" borderId="0" xfId="0" applyFont="1" applyAlignment="1">
      <alignment horizontal="left"/>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0" fontId="2" fillId="0" borderId="0" xfId="0" applyFont="1" applyAlignment="1">
      <alignment wrapText="1"/>
    </xf>
    <xf numFmtId="0" fontId="4" fillId="0" borderId="1" xfId="0" applyFont="1" applyBorder="1" applyAlignment="1">
      <alignment wrapText="1"/>
    </xf>
    <xf numFmtId="0" fontId="8" fillId="0" borderId="2" xfId="0" applyFont="1" applyBorder="1" applyAlignment="1">
      <alignment horizontal="center"/>
    </xf>
    <xf numFmtId="0" fontId="8" fillId="0" borderId="2" xfId="0" applyFont="1" applyBorder="1" applyAlignment="1">
      <alignment horizontal="left"/>
    </xf>
    <xf numFmtId="3" fontId="8" fillId="0" borderId="2" xfId="0" applyNumberFormat="1" applyFont="1" applyBorder="1" applyAlignment="1">
      <alignment horizontal="center"/>
    </xf>
    <xf numFmtId="165" fontId="8" fillId="0" borderId="2" xfId="0" applyNumberFormat="1" applyFont="1" applyFill="1" applyBorder="1" applyAlignment="1">
      <alignment horizontal="left" wrapText="1"/>
    </xf>
    <xf numFmtId="0" fontId="4" fillId="0" borderId="2" xfId="0" applyFont="1" applyBorder="1" applyAlignment="1">
      <alignment horizontal="center"/>
    </xf>
    <xf numFmtId="3" fontId="4" fillId="0" borderId="2" xfId="0" applyNumberFormat="1" applyFont="1" applyBorder="1" applyAlignment="1">
      <alignment horizontal="center"/>
    </xf>
    <xf numFmtId="4" fontId="4" fillId="0" borderId="2" xfId="0" applyNumberFormat="1" applyFont="1" applyBorder="1" applyAlignment="1">
      <alignment horizontal="center"/>
    </xf>
    <xf numFmtId="3" fontId="4" fillId="0" borderId="3" xfId="0" applyNumberFormat="1" applyFont="1" applyBorder="1" applyAlignment="1">
      <alignment horizontal="center"/>
    </xf>
    <xf numFmtId="166" fontId="4" fillId="0" borderId="4" xfId="0" applyNumberFormat="1" applyFont="1" applyBorder="1" applyAlignment="1">
      <alignment horizontal="center"/>
    </xf>
    <xf numFmtId="164" fontId="4" fillId="0" borderId="2" xfId="0" applyNumberFormat="1" applyFont="1" applyBorder="1" applyAlignment="1">
      <alignment horizontal="center"/>
    </xf>
    <xf numFmtId="167" fontId="4" fillId="0" borderId="0" xfId="0" applyNumberFormat="1" applyFont="1"/>
    <xf numFmtId="0" fontId="9" fillId="0" borderId="1" xfId="0" applyFont="1" applyBorder="1"/>
    <xf numFmtId="0" fontId="2" fillId="0" borderId="1" xfId="0" applyFont="1" applyBorder="1"/>
    <xf numFmtId="0" fontId="2" fillId="0" borderId="1" xfId="0" applyFont="1" applyBorder="1" applyAlignment="1">
      <alignment horizontal="center"/>
    </xf>
    <xf numFmtId="0" fontId="2" fillId="0" borderId="1" xfId="0" applyFont="1" applyBorder="1" applyAlignment="1">
      <alignment horizontal="right"/>
    </xf>
    <xf numFmtId="3" fontId="2" fillId="0" borderId="1" xfId="0" applyNumberFormat="1" applyFont="1" applyBorder="1" applyAlignment="1">
      <alignment horizontal="center"/>
    </xf>
    <xf numFmtId="0" fontId="2" fillId="0" borderId="1" xfId="0" applyFont="1" applyBorder="1" applyAlignment="1">
      <alignment horizontal="left"/>
    </xf>
    <xf numFmtId="168" fontId="2" fillId="0" borderId="1" xfId="0" applyNumberFormat="1" applyFont="1" applyBorder="1" applyAlignment="1">
      <alignment horizontal="center"/>
    </xf>
    <xf numFmtId="168" fontId="2" fillId="0" borderId="3" xfId="0" applyNumberFormat="1" applyFont="1" applyBorder="1" applyAlignment="1">
      <alignment horizontal="center"/>
    </xf>
    <xf numFmtId="164" fontId="2" fillId="0" borderId="1" xfId="0" applyNumberFormat="1" applyFont="1" applyBorder="1" applyAlignment="1">
      <alignment horizontal="center"/>
    </xf>
    <xf numFmtId="0" fontId="2" fillId="0" borderId="0" xfId="0" applyFont="1" applyBorder="1"/>
    <xf numFmtId="0" fontId="2" fillId="0" borderId="5" xfId="0" applyFont="1" applyBorder="1"/>
    <xf numFmtId="0" fontId="2" fillId="0" borderId="5" xfId="0" applyFont="1" applyBorder="1" applyAlignment="1">
      <alignment horizontal="center"/>
    </xf>
    <xf numFmtId="0" fontId="2" fillId="0" borderId="5" xfId="0" applyFont="1" applyBorder="1" applyAlignment="1">
      <alignment horizontal="right"/>
    </xf>
    <xf numFmtId="3" fontId="2" fillId="0" borderId="5" xfId="0" applyNumberFormat="1" applyFont="1" applyBorder="1" applyAlignment="1">
      <alignment horizontal="center"/>
    </xf>
    <xf numFmtId="0" fontId="2" fillId="0" borderId="5" xfId="0" applyFont="1" applyBorder="1" applyAlignment="1">
      <alignment horizontal="left"/>
    </xf>
    <xf numFmtId="168" fontId="2" fillId="0" borderId="5" xfId="0" applyNumberFormat="1" applyFont="1" applyBorder="1" applyAlignment="1">
      <alignment horizontal="center"/>
    </xf>
    <xf numFmtId="164" fontId="2" fillId="0" borderId="5" xfId="0" applyNumberFormat="1" applyFont="1" applyBorder="1" applyAlignment="1">
      <alignment horizontal="center"/>
    </xf>
    <xf numFmtId="0" fontId="4"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Fill="1" applyBorder="1" applyAlignment="1">
      <alignment horizontal="center" vertical="center" wrapText="1"/>
    </xf>
    <xf numFmtId="0" fontId="2" fillId="0" borderId="0" xfId="0" applyFont="1" applyAlignment="1">
      <alignment horizontal="right"/>
    </xf>
    <xf numFmtId="168" fontId="4" fillId="0" borderId="0" xfId="0" applyNumberFormat="1" applyFont="1"/>
    <xf numFmtId="1" fontId="4" fillId="0" borderId="0" xfId="0" applyNumberFormat="1" applyFont="1" applyAlignment="1">
      <alignment horizontal="left"/>
    </xf>
    <xf numFmtId="0" fontId="4" fillId="0" borderId="0" xfId="0" applyFont="1" applyAlignment="1">
      <alignment horizontal="left"/>
    </xf>
    <xf numFmtId="1" fontId="4" fillId="0" borderId="0" xfId="0" applyNumberFormat="1" applyFont="1" applyAlignment="1">
      <alignment horizontal="left"/>
    </xf>
    <xf numFmtId="0" fontId="2" fillId="0" borderId="0" xfId="0" applyFont="1" applyAlignment="1">
      <alignment vertical="top" wrapText="1"/>
    </xf>
    <xf numFmtId="0" fontId="2" fillId="0" borderId="6" xfId="0" applyFont="1" applyBorder="1" applyAlignment="1">
      <alignment horizontal="left" vertical="top" wrapText="1"/>
    </xf>
    <xf numFmtId="0" fontId="2" fillId="0" borderId="0" xfId="0" applyFont="1" applyAlignment="1">
      <alignment horizontal="left" vertical="top" wrapText="1"/>
    </xf>
    <xf numFmtId="0" fontId="8" fillId="0" borderId="0" xfId="0" applyFont="1"/>
  </cellXfs>
  <cellStyles count="216">
    <cellStyle name="__0_Расчет_Инвойс" xfId="1"/>
    <cellStyle name="__1_Воортекс" xfId="2"/>
    <cellStyle name="__1_Гэйбл" xfId="3"/>
    <cellStyle name="__1_Илот" xfId="4"/>
    <cellStyle name="__1_КУГУАР_бланк-v2" xfId="5"/>
    <cellStyle name="__1_ОКАПИ_бланк" xfId="6"/>
    <cellStyle name="__1_ЭРВИД_бланк-v2" xfId="7"/>
    <cellStyle name="_++06-11-03 T- I- M-1057 W-19099 A-855  LAVER 643-021-2001 ЦАТ" xfId="8"/>
    <cellStyle name="_+02122003_092_inv_tdi_isx" xfId="9"/>
    <cellStyle name="_+14012004_094_inv_tdi_isx" xfId="10"/>
    <cellStyle name="_+17062002_536_inv_comf_stef" xfId="11"/>
    <cellStyle name="_+25022004_652_inv_tdi_isx" xfId="12"/>
    <cellStyle name="_+28112003_006_inv_tdi_isx" xfId="13"/>
    <cellStyle name="_+31032004_093_inv_tdi_icx" xfId="14"/>
    <cellStyle name="_+BY943_25.06" xfId="15"/>
    <cellStyle name="_+CE5270-9695CA" xfId="16"/>
    <cellStyle name="_+inv_383_isx" xfId="17"/>
    <cellStyle name="_+inv_387_isx" xfId="18"/>
    <cellStyle name="_+inv_393_isx" xfId="19"/>
    <cellStyle name="_+inv_400_isx" xfId="20"/>
    <cellStyle name="_+Копия 27112003_127_inv_tdi_isx" xfId="21"/>
    <cellStyle name="_+предвар_EZZ554_04.02.04" xfId="22"/>
    <cellStyle name="_+Предвар_JEZ902_09.02" xfId="23"/>
    <cellStyle name="_+Предвар_JEZ903_10.11" xfId="24"/>
    <cellStyle name="_+Предвар_JEZ903_10.11final" xfId="25"/>
    <cellStyle name="_+Предвар_RBY943_11.08" xfId="26"/>
    <cellStyle name="_+Предвар_YCS-983_11.03.04" xfId="27"/>
    <cellStyle name="_14-10-02 T- I-034-N-02-101402 M-1356 W-16000" xfId="28"/>
    <cellStyle name="_16D06D06" xfId="29"/>
    <cellStyle name="_173C7113" xfId="30"/>
    <cellStyle name="_178DB843" xfId="31"/>
    <cellStyle name="_17DDC2C7" xfId="32"/>
    <cellStyle name="_19,071" xfId="33"/>
    <cellStyle name="_1B77D98C" xfId="34"/>
    <cellStyle name="_229621" xfId="35"/>
    <cellStyle name="_345036CE" xfId="36"/>
    <cellStyle name="_35477A17" xfId="37"/>
    <cellStyle name="_39160E13" xfId="38"/>
    <cellStyle name="_394B59E" xfId="39"/>
    <cellStyle name="_3A968DD5" xfId="40"/>
    <cellStyle name="_4310D52D" xfId="41"/>
    <cellStyle name="_44B517AD" xfId="42"/>
    <cellStyle name="_49" xfId="43"/>
    <cellStyle name="_53B26ADA" xfId="44"/>
    <cellStyle name="_544F506E" xfId="45"/>
    <cellStyle name="_545EAC0A" xfId="46"/>
    <cellStyle name="_57F1D9FC" xfId="47"/>
    <cellStyle name="_5DBFED1E" xfId="48"/>
    <cellStyle name="_5FE16980" xfId="49"/>
    <cellStyle name="_65AF39C" xfId="50"/>
    <cellStyle name="_6CFA0E2C" xfId="51"/>
    <cellStyle name="_6D55636A" xfId="52"/>
    <cellStyle name="_70500D0B" xfId="53"/>
    <cellStyle name="_749EE4A2" xfId="54"/>
    <cellStyle name="_7800607-10" xfId="55"/>
    <cellStyle name="_784-220104табл+" xfId="56"/>
    <cellStyle name="_7A8DFBEA" xfId="57"/>
    <cellStyle name="_7B122FE" xfId="58"/>
    <cellStyle name="_9543" xfId="59"/>
    <cellStyle name="_98581" xfId="60"/>
    <cellStyle name="_99822" xfId="61"/>
    <cellStyle name="_AMI_6May" xfId="62"/>
    <cellStyle name="_carnet469" xfId="63"/>
    <cellStyle name="_carnet7957" xfId="64"/>
    <cellStyle name="_docs запчасти" xfId="65"/>
    <cellStyle name="_Documents tools 28,10" xfId="66"/>
    <cellStyle name="_Documents tools 28,10-29" xfId="67"/>
    <cellStyle name="_Domod.8 658" xfId="68"/>
    <cellStyle name="_DVD" xfId="69"/>
    <cellStyle name="_E0A15D7" xfId="70"/>
    <cellStyle name="_FC9985" xfId="71"/>
    <cellStyle name="_INV_030-1_ispr" xfId="72"/>
    <cellStyle name="_inv_171_isx" xfId="73"/>
    <cellStyle name="_INV_373_ispr" xfId="74"/>
    <cellStyle name="_INV_449-1_ispr" xfId="75"/>
    <cellStyle name="_INV_COMF_Byk_3101_1i" xfId="76"/>
    <cellStyle name="_invoice 960" xfId="77"/>
    <cellStyle name="_L 11 ОТВЕТ2" xfId="78"/>
    <cellStyle name="_L 15 Лене на просчет" xfId="79"/>
    <cellStyle name="_L 23 на просчет" xfId="80"/>
    <cellStyle name="_new 25-11-03 T- I- M- W- A- LAVER 643-021-2001 ЦАТ" xfId="81"/>
    <cellStyle name="_pack 960" xfId="82"/>
    <cellStyle name="_qtek на расчет" xfId="83"/>
    <cellStyle name="_setka_244_01_july_Vantaa" xfId="84"/>
    <cellStyle name="_T-6974 КОМПЫ" xfId="85"/>
    <cellStyle name="_tab" xfId="86"/>
    <cellStyle name="_truck 784 codes-23" xfId="87"/>
    <cellStyle name="_UUUUUUUUUUUUUUUUU" xfId="88"/>
    <cellStyle name="_АВТОЗАПЧАСТИ 2" xfId="89"/>
    <cellStyle name="_Автозапчасти-БОГДАНОВ 1534" xfId="90"/>
    <cellStyle name="_Германия 8828" xfId="91"/>
    <cellStyle name="_Германия-АВТОЗАПЧАСТИ 26.07.02.(2152)" xfId="92"/>
    <cellStyle name="_для инвойса L 14 NEW" xfId="93"/>
    <cellStyle name="_ДОП IN_L 21" xfId="94"/>
    <cellStyle name="_Драглайн" xfId="95"/>
    <cellStyle name="_Загрузка 2 100 кл-08-серт1410-1168 100кл" xfId="96"/>
    <cellStyle name="_Загрузка 3 100 кл-16 1610-1171 100кл" xfId="97"/>
    <cellStyle name="_заявка запчасти 28-08-02 от Тети" xfId="98"/>
    <cellStyle name="_Илирия" xfId="99"/>
    <cellStyle name="_Илирия1" xfId="100"/>
    <cellStyle name="_испр +предвар_EZZ554_29.01.04_1" xfId="101"/>
    <cellStyle name="_йМХЦЮ5" xfId="102"/>
    <cellStyle name="_карнет469" xfId="103"/>
    <cellStyle name="_Книга1" xfId="104"/>
    <cellStyle name="_Книга14" xfId="105"/>
    <cellStyle name="_Книга2" xfId="106"/>
    <cellStyle name="_Лист1" xfId="107"/>
    <cellStyle name="_НА 20,03,02" xfId="108"/>
    <cellStyle name="_На проверку автозапчасти 2152" xfId="109"/>
    <cellStyle name="_На просчёт Кириллу L 17" xfId="110"/>
    <cellStyle name="_На просчёт Кириллу L 26" xfId="111"/>
    <cellStyle name="_На расчёт Кирилла  L 27" xfId="112"/>
    <cellStyle name="_находка_порт" xfId="113"/>
    <cellStyle name="_наш расчет" xfId="114"/>
    <cellStyle name="_НОВЫЕ ЗАПЧАСТ" xfId="115"/>
    <cellStyle name="_онисание" xfId="116"/>
    <cellStyle name="_перевод пакинга" xfId="117"/>
    <cellStyle name="_план192" xfId="118"/>
    <cellStyle name="_предвар_EZZ554_04.02.04_final" xfId="119"/>
    <cellStyle name="_Предвар_YCS-983_11.03.04" xfId="120"/>
    <cellStyle name="_расчет ЗАПЧАСТИ 10 09 2002" xfId="121"/>
    <cellStyle name="_Расчет Цены честный" xfId="122"/>
    <cellStyle name="_Спецификация-РЭМ" xfId="123"/>
    <cellStyle name="_телефоны-09-20" xfId="124"/>
    <cellStyle name="_телефоны-16" xfId="125"/>
    <cellStyle name="_телефоны-28-23" xfId="126"/>
    <cellStyle name="_Цены4.04" xfId="127"/>
    <cellStyle name="0,0_x000d_&#10;NA_x000d_&#10;" xfId="128"/>
    <cellStyle name="0,0_x000d_&#10;NA_x000d_&#10; 4 2" xfId="129"/>
    <cellStyle name="0,0_x000d_&#10;NA_x000d_&#10; 4 2 2" xfId="130"/>
    <cellStyle name="20% - 强调文字颜色 1" xfId="131"/>
    <cellStyle name="20% - 强调文字颜色 2" xfId="132"/>
    <cellStyle name="20% - 强调文字颜色 3" xfId="133"/>
    <cellStyle name="20% - 强调文字颜色 4" xfId="134"/>
    <cellStyle name="20% - 强调文字颜色 5" xfId="135"/>
    <cellStyle name="20% - 强调文字颜色 6" xfId="136"/>
    <cellStyle name="40% - 强调文字颜色 1" xfId="137"/>
    <cellStyle name="40% - 强调文字颜色 2" xfId="138"/>
    <cellStyle name="40% - 强调文字颜色 3" xfId="139"/>
    <cellStyle name="40% - 强调文字颜色 4" xfId="140"/>
    <cellStyle name="40% - 强调文字颜色 5" xfId="141"/>
    <cellStyle name="40% - 强调文字颜色 6" xfId="142"/>
    <cellStyle name="60% - 强调文字颜色 1" xfId="143"/>
    <cellStyle name="60% - 强调文字颜色 2" xfId="144"/>
    <cellStyle name="60% - 强调文字颜色 3" xfId="145"/>
    <cellStyle name="60% - 强调文字颜色 4" xfId="146"/>
    <cellStyle name="60% - 强调文字颜色 5" xfId="147"/>
    <cellStyle name="60% - 强调文字颜色 6" xfId="148"/>
    <cellStyle name="A4 Small 210 x 297 mm" xfId="149"/>
    <cellStyle name="C:\Data\MS\Excel" xfId="150"/>
    <cellStyle name="Comma [0]_Abd &quot;A&quot;" xfId="151"/>
    <cellStyle name="Comma_Abd &quot;A&quot;" xfId="152"/>
    <cellStyle name="Currency [0]_Abd &quot;A&quot;" xfId="153"/>
    <cellStyle name="Currency_Abd &quot;A&quot;" xfId="154"/>
    <cellStyle name="Dezimal_Sheet2" xfId="155"/>
    <cellStyle name="Euro" xfId="156"/>
    <cellStyle name="Excel Built-in Normal 2" xfId="157"/>
    <cellStyle name="Goods" xfId="158"/>
    <cellStyle name="iWeA_Zh-5.xls" xfId="159"/>
    <cellStyle name="Normal 2" xfId="160"/>
    <cellStyle name="Normal_119 inv" xfId="161"/>
    <cellStyle name="Normal1" xfId="162"/>
    <cellStyle name="Normale_STANY" xfId="163"/>
    <cellStyle name="SFALeftAlign" xfId="164"/>
    <cellStyle name="SFARightAlign" xfId="165"/>
    <cellStyle name="SFAWholeNumber_PO#2746a" xfId="166"/>
    <cellStyle name="Standard_B-EBG95" xfId="167"/>
    <cellStyle name="VedColumnHeader01" xfId="168"/>
    <cellStyle name="VedTblDbl" xfId="169"/>
    <cellStyle name="VedTblInt" xfId="170"/>
    <cellStyle name="VedTblNo" xfId="171"/>
    <cellStyle name="VedTblTxt" xfId="172"/>
    <cellStyle name="VedTotDbl" xfId="173"/>
    <cellStyle name="Währung [0]_Sheet2" xfId="174"/>
    <cellStyle name="Währung_Sheet2" xfId="175"/>
    <cellStyle name="Де?ежный [0]_23431675 (2)_28511014 свх" xfId="176"/>
    <cellStyle name="Деҽежный [0]_23431675 (2)_28511014 свх" xfId="177"/>
    <cellStyle name="Денежный 2" xfId="178"/>
    <cellStyle name="Обычный" xfId="0" builtinId="0"/>
    <cellStyle name="Обычный 2" xfId="179"/>
    <cellStyle name="Обычный 2 3" xfId="180"/>
    <cellStyle name="Обычный 2_Копия образец_1" xfId="181"/>
    <cellStyle name="Обычный 3" xfId="182"/>
    <cellStyle name="Обычный 4" xfId="183"/>
    <cellStyle name="Стиль 1" xfId="184"/>
    <cellStyle name="Стиль 1 3" xfId="185"/>
    <cellStyle name="Финансовый 2" xfId="186"/>
    <cellStyle name="표준_BUYER" xfId="187"/>
    <cellStyle name="一般_Accounts and Statistics" xfId="188"/>
    <cellStyle name="好" xfId="189"/>
    <cellStyle name="差" xfId="190"/>
    <cellStyle name="常规 2" xfId="191"/>
    <cellStyle name="常规 3" xfId="192"/>
    <cellStyle name="常规_07 заказ" xfId="193"/>
    <cellStyle name="强调文字颜色 1" xfId="194"/>
    <cellStyle name="强调文字颜色 2" xfId="195"/>
    <cellStyle name="强调文字颜色 3" xfId="196"/>
    <cellStyle name="强调文字颜色 4" xfId="197"/>
    <cellStyle name="强调文字颜色 5" xfId="198"/>
    <cellStyle name="强调文字颜色 6" xfId="199"/>
    <cellStyle name="标题" xfId="200"/>
    <cellStyle name="标题 1" xfId="201"/>
    <cellStyle name="标题 2" xfId="202"/>
    <cellStyle name="标题 3" xfId="203"/>
    <cellStyle name="标题 4" xfId="204"/>
    <cellStyle name="检查单元格" xfId="205"/>
    <cellStyle name="標準_新新価格体系 実行ベース" xfId="206"/>
    <cellStyle name="汇总" xfId="207"/>
    <cellStyle name="注释" xfId="208"/>
    <cellStyle name="解释性文本" xfId="209"/>
    <cellStyle name="警告文本" xfId="210"/>
    <cellStyle name="计算" xfId="211"/>
    <cellStyle name="输入" xfId="212"/>
    <cellStyle name="输出" xfId="213"/>
    <cellStyle name="适中" xfId="214"/>
    <cellStyle name="链接单元格" xfId="21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calcChain" Target="calcChain.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48;&#1085;&#1074;&#1086;&#1081;&#1089;%20-001%20Double%20Ring%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lex\e\&#1056;&#1072;&#1073;&#1086;&#1095;&#1080;&#1077;%20&#1092;&#1072;&#1081;&#1083;&#1099;\Alk\&#1048;&#1085;&#1074;&#1086;&#1081;&#1089;&#1099;\&#1063;&#1072;&#1081;\&#1057;&#1090;&#1072;&#1088;&#1099;&#1077;%20&#1095;&#1072;&#1080;-%20&#1057;&#1072;&#1093;&#1072;,%20&#1057;&#1080;&#1085;&#1075;&#1093;%20-%20&#1069;&#1083;&#1090;&#1080;&#1082;\&#1057;&#1072;&#1093;&#1072;\&#1051;&#1077;&#1085;&#1072;\04-12-97%202081%20&#1095;&#1072;&#1081;%20&#1057;&#1072;&#1093;&#1072;%20&#1057;&#1090;&#1088;&#1086;&#1081;%201295%20I-DDP-18120%20W-13283.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lad\share_c\&#1052;&#1086;&#1080;%20&#1076;&#1086;&#1082;&#1091;&#1084;&#1077;&#1085;&#1090;&#1099;\&#1057;&#1074;&#1072;&#1083;&#1082;&#1072;\&#1048;&#1085;&#1074;&#1086;&#1081;&#1089;&#1099;%20&#1085;&#1072;%2004,06,20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1058;&#1040;&#1052;&#1054;&#1046;&#1053;&#1071;\&#1076;&#1086;&#1082;&#1091;&#1084;&#1077;&#1085;&#1090;&#1099;%20&#1087;&#1088;&#1103;&#1084;&#1099;&#1077;\&#1052;&#1080;&#1092;&#1072;&#1085;&#1090;\TCLU5021030%20-%20BSI%20Msk%20(2)\&#1040;&#1083;&#1100;&#1073;&#1077;&#1088;&#1090;\Merloni_log\ARDO\Log_Ardo_20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1058;&#1040;&#1052;&#1054;&#1046;&#1053;&#1071;\&#1076;&#1086;&#1082;&#1091;&#1084;&#1077;&#1085;&#1090;&#1099;%20&#1087;&#1088;&#1103;&#1084;&#1099;&#1077;\&#1052;&#1080;&#1092;&#1072;&#1085;&#1090;\TCLU5021030%20-%20BSI%20Msk%20(2)\Documents%20and%20Settings\valday.TG\&#1056;&#1072;&#1073;&#1086;&#1095;&#1080;&#1081;%20&#1089;&#1090;&#1086;&#1083;\&#1053;&#1086;&#1074;&#1072;&#1103;%20&#1087;&#1072;&#1087;&#1082;&#1072;\02\792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ll data"/>
      <sheetName val="спецификация"/>
      <sheetName val="INVOICE"/>
      <sheetName val="PACKING LIST"/>
      <sheetName val="форма для ГТД"/>
    </sheetNames>
    <sheetDataSet>
      <sheetData sheetId="0">
        <row r="2">
          <cell r="A2" t="str">
            <v>Seller :/ Продавец:</v>
          </cell>
          <cell r="B2" t="str">
            <v>XUZHOU DOUBLE RINGS MACHINERY CO., LTD.</v>
          </cell>
        </row>
        <row r="3">
          <cell r="A3" t="str">
            <v>Seller's address:/ Адрес продавца:</v>
          </cell>
          <cell r="B3" t="str">
            <v>28 BEIJING  ROAD TONGSHAN NEW DISTRICT XUZHOU JIANGSU CHINA</v>
          </cell>
        </row>
        <row r="4">
          <cell r="A4" t="str">
            <v>Seller's bank:/ Наименование банка продавца:</v>
          </cell>
          <cell r="B4" t="str">
            <v>HANG SENG BANK LIMITED</v>
          </cell>
        </row>
        <row r="5">
          <cell r="A5" t="str">
            <v>SWIFT:/ SWIFT код:</v>
          </cell>
          <cell r="B5" t="str">
            <v xml:space="preserve">HASEHKHH </v>
          </cell>
        </row>
        <row r="6">
          <cell r="A6" t="str">
            <v>Seller's bank ac, #:/ Номер счета продавца:</v>
          </cell>
          <cell r="B6" t="str">
            <v>787541192883</v>
          </cell>
        </row>
        <row r="7">
          <cell r="B7" t="str">
            <v>http://doublerings3.diytrade.com/</v>
          </cell>
        </row>
        <row r="8">
          <cell r="A8" t="str">
            <v xml:space="preserve">Director: / Директор: </v>
          </cell>
          <cell r="B8" t="str">
            <v>Xu Kun</v>
          </cell>
        </row>
        <row r="10">
          <cell r="B10" t="str">
            <v xml:space="preserve">LLC “RESPECT” 
</v>
          </cell>
          <cell r="C10" t="str">
            <v>ООО  «РЕСПЕКТ»</v>
          </cell>
        </row>
        <row r="11">
          <cell r="B11" t="str">
            <v xml:space="preserve">INN 7713744460 / KPP 500801001 </v>
          </cell>
          <cell r="C11" t="str">
            <v xml:space="preserve">ИНН   7713744460, КПП     500801001 
</v>
          </cell>
        </row>
        <row r="12">
          <cell r="B12" t="str">
            <v>141402, Moscow region, city Khimki, Leningradskaya str., 1 b.D, of.304</v>
          </cell>
          <cell r="C12" t="str">
            <v>141402, Россия, МО, г. Химки, Ленинградская ул., д.1, корп. Д, оф.304</v>
          </cell>
        </row>
        <row r="13">
          <cell r="A13" t="str">
            <v xml:space="preserve">General Manager: /Генеральный директор: </v>
          </cell>
          <cell r="C13" t="str">
            <v>Цацулин А.В.</v>
          </cell>
        </row>
        <row r="17">
          <cell r="B17">
            <v>43329</v>
          </cell>
        </row>
        <row r="18">
          <cell r="A18" t="str">
            <v>Specification #:/ Номер Спецификации:</v>
          </cell>
          <cell r="B18" t="str">
            <v>17/08-01</v>
          </cell>
        </row>
        <row r="19">
          <cell r="A19" t="str">
            <v>Contract #: Номер Контракта:</v>
          </cell>
          <cell r="B19" t="str">
            <v>0103-XDR-AC</v>
          </cell>
        </row>
        <row r="23">
          <cell r="A23" t="str">
            <v>Payment term:/ Условия Оплаты:</v>
          </cell>
          <cell r="B23" t="str">
            <v>100% of cost of the goods within 15 calendar days after signing of specification / Условия оплаты: 100% оплата в течение 15 календарных дней после подписания спецификации
In the event that the Seller fails to fulfill the order within 70 calendar days from the date of placing the order, the prepayment shall be returned to the account of the Buyer within 90 calendar days / В случае невыполнения Продавцом заказа в течение 70 календарных дней со дня размещения заказа, предоплата подлежит возврату на счёт Покупателя в течение 90 календарных дней</v>
          </cell>
        </row>
        <row r="24">
          <cell r="A24" t="str">
            <v>Delivery term:/ Условия Поставки</v>
          </cell>
          <cell r="B24" t="str">
            <v>ex-works Jiakou, Guanzhou, China / EXW Джиакоу, Гуанчжоу</v>
          </cell>
        </row>
        <row r="25">
          <cell r="A25" t="str">
            <v>Date of Delivery:/ Дата поставки</v>
          </cell>
          <cell r="B25" t="str">
            <v>The delivery date is not later than 01.09.2018  / Дата поставки не позднее 01.09.2018г.</v>
          </cell>
        </row>
        <row r="26">
          <cell r="A26" t="str">
            <v>Country of origin:/  Страна Происхождения:</v>
          </cell>
          <cell r="B26" t="str">
            <v>China/ Китай</v>
          </cell>
        </row>
        <row r="38">
          <cell r="A38" t="str">
            <v>Description:/Описание:</v>
          </cell>
          <cell r="B38" t="str">
            <v>Cat,#/ Артикул</v>
          </cell>
          <cell r="D38" t="str">
            <v>Manufactor/ Производитель</v>
          </cell>
          <cell r="E38" t="str">
            <v>Q-ty items / Кол-во штук</v>
          </cell>
          <cell r="F38" t="str">
            <v>Unit/ед. измерения</v>
          </cell>
          <cell r="G38" t="str">
            <v>Price, USD/ Цена за ед. Долл США</v>
          </cell>
          <cell r="H38" t="str">
            <v>Amount,  USD / Стоимость, долл США</v>
          </cell>
          <cell r="I38" t="str">
            <v>Q-ty packages / Кол-во мест</v>
          </cell>
          <cell r="M38" t="str">
            <v xml:space="preserve">Product code / Код товара </v>
          </cell>
          <cell r="P38" t="str">
            <v>BRAND/Торговая марка</v>
          </cell>
        </row>
        <row r="39">
          <cell r="A39" t="str">
            <v>Accessories (Stone flowers)/Аксессуары (цветы из камня)</v>
          </cell>
          <cell r="B39" t="str">
            <v>F02PECAH</v>
          </cell>
          <cell r="C39" t="str">
            <v>pcs/шт</v>
          </cell>
          <cell r="D39" t="str">
            <v>GUANGDONG SILIQUE INTERNATIONAL  GROUP  MAUFAR CO.,LTD</v>
          </cell>
          <cell r="E39">
            <v>25</v>
          </cell>
          <cell r="F39">
            <v>1</v>
          </cell>
          <cell r="G39">
            <v>0.23</v>
          </cell>
          <cell r="H39">
            <v>5.75</v>
          </cell>
          <cell r="I39">
            <v>1</v>
          </cell>
          <cell r="M39">
            <v>6802999000</v>
          </cell>
        </row>
        <row r="40">
          <cell r="A40" t="str">
            <v>Accessories (Stone flowers)/Аксессуары (цветы из камня)</v>
          </cell>
          <cell r="B40" t="str">
            <v>F111-6RDFLOWER</v>
          </cell>
          <cell r="C40" t="str">
            <v>pcs/шт</v>
          </cell>
          <cell r="D40" t="str">
            <v>GUANGDONG SILIQUE INTERNATIONAL  GROUP  MAUFAR CO.,LTD</v>
          </cell>
          <cell r="E40">
            <v>60</v>
          </cell>
          <cell r="F40">
            <v>1</v>
          </cell>
          <cell r="G40">
            <v>7.0000000000000007E-2</v>
          </cell>
          <cell r="H40">
            <v>4.2</v>
          </cell>
          <cell r="I40">
            <v>1</v>
          </cell>
          <cell r="M40">
            <v>6802999000</v>
          </cell>
        </row>
        <row r="41">
          <cell r="A41" t="str">
            <v>Accessories (Stone flowers)/Аксессуары (цветы из камня)</v>
          </cell>
          <cell r="B41" t="str">
            <v>F111-6WE（FLOWER）</v>
          </cell>
          <cell r="C41" t="str">
            <v>pcs/шт</v>
          </cell>
          <cell r="D41" t="str">
            <v>GUANGDONG SILIQUE INTERNATIONAL  GROUP  MAUFAR CO.,LTD</v>
          </cell>
          <cell r="E41">
            <v>20</v>
          </cell>
          <cell r="F41">
            <v>1</v>
          </cell>
          <cell r="G41">
            <v>7.0000000000000007E-2</v>
          </cell>
          <cell r="H41">
            <v>1.4000000000000001</v>
          </cell>
          <cell r="I41" t="str">
            <v>part</v>
          </cell>
          <cell r="M41">
            <v>6802999000</v>
          </cell>
        </row>
        <row r="42">
          <cell r="A42" t="str">
            <v>Accessories (Stone flowers)/Аксессуары (цветы из камня)</v>
          </cell>
          <cell r="B42" t="str">
            <v>F123-2GRAPE</v>
          </cell>
          <cell r="C42" t="str">
            <v>pcs/шт</v>
          </cell>
          <cell r="D42" t="str">
            <v>GUANGDONG SILIQUE INTERNATIONAL  GROUP  MAUFAR CO.,LTD</v>
          </cell>
          <cell r="E42">
            <v>25</v>
          </cell>
          <cell r="F42">
            <v>1</v>
          </cell>
          <cell r="G42">
            <v>0.54</v>
          </cell>
          <cell r="H42">
            <v>13.5</v>
          </cell>
          <cell r="I42">
            <v>1</v>
          </cell>
          <cell r="M42">
            <v>6802999000</v>
          </cell>
        </row>
        <row r="43">
          <cell r="A43" t="str">
            <v>Accessories (Stone flowers)/Аксессуары (цветы из камня)</v>
          </cell>
          <cell r="B43" t="str">
            <v>F264FLOWER</v>
          </cell>
          <cell r="C43" t="str">
            <v>pcs/шт</v>
          </cell>
          <cell r="D43" t="str">
            <v>GUANGDONG SILIQUE INTERNATIONAL  GROUP  MAUFAR CO.,LTD</v>
          </cell>
          <cell r="E43">
            <v>4</v>
          </cell>
          <cell r="F43">
            <v>1</v>
          </cell>
          <cell r="G43">
            <v>2.8</v>
          </cell>
          <cell r="H43">
            <v>11.2</v>
          </cell>
          <cell r="I43">
            <v>1</v>
          </cell>
          <cell r="M43">
            <v>6802999000</v>
          </cell>
        </row>
        <row r="44">
          <cell r="A44" t="str">
            <v>Accessories (Stone flowers)/Аксессуары (цветы из камня)</v>
          </cell>
          <cell r="B44" t="str">
            <v>F417FLOWER</v>
          </cell>
          <cell r="C44" t="str">
            <v>pcs/шт</v>
          </cell>
          <cell r="D44" t="str">
            <v>GUANGDONG SILIQUE INTERNATIONAL  GROUP  MAUFAR CO.,LTD</v>
          </cell>
          <cell r="E44">
            <v>25</v>
          </cell>
          <cell r="F44">
            <v>1</v>
          </cell>
          <cell r="G44">
            <v>0.62</v>
          </cell>
          <cell r="H44">
            <v>15.5</v>
          </cell>
          <cell r="I44">
            <v>1</v>
          </cell>
          <cell r="M44">
            <v>6802999000</v>
          </cell>
        </row>
        <row r="45">
          <cell r="A45" t="str">
            <v>Accessories (Stone flowers)/Аксессуары (цветы из камня)</v>
          </cell>
          <cell r="B45" t="str">
            <v>F430FLOWER</v>
          </cell>
          <cell r="C45" t="str">
            <v>pcs/шт</v>
          </cell>
          <cell r="D45" t="str">
            <v>GUANGDONG SILIQUE INTERNATIONAL  GROUP  MAUFAR CO.,LTD</v>
          </cell>
          <cell r="E45">
            <v>30</v>
          </cell>
          <cell r="F45">
            <v>1</v>
          </cell>
          <cell r="G45">
            <v>0.14000000000000001</v>
          </cell>
          <cell r="H45">
            <v>4.2</v>
          </cell>
          <cell r="I45">
            <v>1</v>
          </cell>
          <cell r="M45">
            <v>6802999000</v>
          </cell>
        </row>
        <row r="46">
          <cell r="A46" t="str">
            <v>Accessories (Stone flowers)/Аксессуары (цветы из камня)</v>
          </cell>
          <cell r="B46" t="str">
            <v>F431-1FLOWER</v>
          </cell>
          <cell r="C46" t="str">
            <v>pcs/шт</v>
          </cell>
          <cell r="D46" t="str">
            <v>GUANGDONG SILIQUE INTERNATIONAL  GROUP  MAUFAR CO.,LTD</v>
          </cell>
          <cell r="E46">
            <v>30</v>
          </cell>
          <cell r="F46">
            <v>1</v>
          </cell>
          <cell r="G46">
            <v>0.14000000000000001</v>
          </cell>
          <cell r="H46">
            <v>4.2</v>
          </cell>
          <cell r="I46" t="str">
            <v>part</v>
          </cell>
          <cell r="M46">
            <v>6802999000</v>
          </cell>
        </row>
        <row r="47">
          <cell r="A47" t="str">
            <v>Accessories (Stone flowers)/Аксессуары (цветы из камня)</v>
          </cell>
          <cell r="B47" t="str">
            <v>F432FLOWER</v>
          </cell>
          <cell r="C47" t="str">
            <v>pcs/шт</v>
          </cell>
          <cell r="D47" t="str">
            <v>GUANGDONG SILIQUE INTERNATIONAL  GROUP  MAUFAR CO.,LTD</v>
          </cell>
          <cell r="E47">
            <v>100</v>
          </cell>
          <cell r="F47">
            <v>1</v>
          </cell>
          <cell r="G47">
            <v>0.09</v>
          </cell>
          <cell r="H47">
            <v>9</v>
          </cell>
          <cell r="I47">
            <v>1</v>
          </cell>
          <cell r="M47">
            <v>6802999000</v>
          </cell>
        </row>
        <row r="48">
          <cell r="A48" t="str">
            <v>Accessories (Stone flowers)/Аксессуары (цветы из камня)</v>
          </cell>
          <cell r="B48" t="str">
            <v>F465ORANGE</v>
          </cell>
          <cell r="C48" t="str">
            <v>pcs/шт</v>
          </cell>
          <cell r="D48" t="str">
            <v>GUANGDONG SILIQUE INTERNATIONAL  GROUP  MAUFAR CO.,LTD</v>
          </cell>
          <cell r="E48">
            <v>75</v>
          </cell>
          <cell r="F48">
            <v>1</v>
          </cell>
          <cell r="G48">
            <v>0.5</v>
          </cell>
          <cell r="H48">
            <v>37.5</v>
          </cell>
          <cell r="I48">
            <v>3</v>
          </cell>
          <cell r="M48">
            <v>6802999000</v>
          </cell>
        </row>
        <row r="49">
          <cell r="A49" t="str">
            <v>Accessories (Stone flowers)/Аксессуары (цветы из камня)</v>
          </cell>
          <cell r="B49" t="str">
            <v>F494-1FLOWER</v>
          </cell>
          <cell r="C49" t="str">
            <v>pcs/шт</v>
          </cell>
          <cell r="D49" t="str">
            <v>GUANGDONG SILIQUE INTERNATIONAL  GROUP  MAUFAR CO.,LTD</v>
          </cell>
          <cell r="E49">
            <v>50</v>
          </cell>
          <cell r="F49">
            <v>1</v>
          </cell>
          <cell r="G49">
            <v>0.34</v>
          </cell>
          <cell r="H49">
            <v>17</v>
          </cell>
          <cell r="I49">
            <v>2</v>
          </cell>
          <cell r="M49">
            <v>6802999000</v>
          </cell>
        </row>
        <row r="50">
          <cell r="A50" t="str">
            <v>Accessories (Stone flowers)/Аксессуары (цветы из камня)</v>
          </cell>
          <cell r="B50" t="str">
            <v>F512FLOWER</v>
          </cell>
          <cell r="C50" t="str">
            <v>pcs/шт</v>
          </cell>
          <cell r="D50" t="str">
            <v>GUANGDONG SILIQUE INTERNATIONAL  GROUP  MAUFAR CO.,LTD</v>
          </cell>
          <cell r="E50">
            <v>12</v>
          </cell>
          <cell r="F50">
            <v>1</v>
          </cell>
          <cell r="G50">
            <v>0.95</v>
          </cell>
          <cell r="H50">
            <v>11.399999999999999</v>
          </cell>
          <cell r="I50">
            <v>1</v>
          </cell>
          <cell r="M50">
            <v>6802999000</v>
          </cell>
        </row>
        <row r="51">
          <cell r="A51" t="str">
            <v>Accessories (Stone flowers)/Аксессуары (цветы из камня)</v>
          </cell>
          <cell r="B51" t="str">
            <v>F522ORANGE</v>
          </cell>
          <cell r="C51" t="str">
            <v>pcs/шт</v>
          </cell>
          <cell r="D51" t="str">
            <v>GUANGDONG SILIQUE INTERNATIONAL  GROUP  MAUFAR CO.,LTD</v>
          </cell>
          <cell r="E51">
            <v>20</v>
          </cell>
          <cell r="F51">
            <v>1</v>
          </cell>
          <cell r="G51">
            <v>4.38</v>
          </cell>
          <cell r="H51">
            <v>87.6</v>
          </cell>
          <cell r="I51">
            <v>5</v>
          </cell>
          <cell r="M51">
            <v>6802999000</v>
          </cell>
        </row>
        <row r="52">
          <cell r="A52" t="str">
            <v>Accessories (Stone flowers)/Аксессуары (цветы из камня)</v>
          </cell>
          <cell r="B52" t="str">
            <v>F523ORANGE</v>
          </cell>
          <cell r="C52" t="str">
            <v>pcs/шт</v>
          </cell>
          <cell r="D52" t="str">
            <v>GUANGDONG SILIQUE INTERNATIONAL  GROUP  MAUFAR CO.,LTD</v>
          </cell>
          <cell r="E52">
            <v>16</v>
          </cell>
          <cell r="F52">
            <v>1</v>
          </cell>
          <cell r="G52">
            <v>3.3299999999999996</v>
          </cell>
          <cell r="H52">
            <v>53.279999999999994</v>
          </cell>
          <cell r="I52">
            <v>4</v>
          </cell>
          <cell r="M52">
            <v>6802999000</v>
          </cell>
        </row>
        <row r="53">
          <cell r="A53" t="str">
            <v>Accessories (Stone flowers)/Аксессуары (цветы из камня)</v>
          </cell>
          <cell r="B53" t="str">
            <v>F524ORANGE</v>
          </cell>
          <cell r="C53" t="str">
            <v>pcs/шт</v>
          </cell>
          <cell r="D53" t="str">
            <v>GUANGDONG SILIQUE INTERNATIONAL  GROUP  MAUFAR CO.,LTD</v>
          </cell>
          <cell r="E53">
            <v>50</v>
          </cell>
          <cell r="F53">
            <v>1</v>
          </cell>
          <cell r="G53">
            <v>0.98</v>
          </cell>
          <cell r="H53">
            <v>49</v>
          </cell>
          <cell r="I53">
            <v>2</v>
          </cell>
          <cell r="M53">
            <v>6802999000</v>
          </cell>
        </row>
        <row r="54">
          <cell r="A54" t="str">
            <v>Accessories (Stone flowers)/Аксессуары (цветы из камня)</v>
          </cell>
          <cell r="B54" t="str">
            <v>F620-2FLOWER</v>
          </cell>
          <cell r="C54" t="str">
            <v>pcs/шт</v>
          </cell>
          <cell r="D54" t="str">
            <v>GUANGDONG SILIQUE INTERNATIONAL  GROUP  MAUFAR CO.,LTD</v>
          </cell>
          <cell r="E54">
            <v>25</v>
          </cell>
          <cell r="F54">
            <v>1</v>
          </cell>
          <cell r="G54">
            <v>0.34</v>
          </cell>
          <cell r="H54">
            <v>8.5</v>
          </cell>
          <cell r="I54">
            <v>1</v>
          </cell>
          <cell r="M54">
            <v>6802999000</v>
          </cell>
        </row>
        <row r="55">
          <cell r="A55" t="str">
            <v>Accessories (Stone flowers)/Аксессуары (цветы из камня)</v>
          </cell>
          <cell r="B55" t="str">
            <v>YF117FLOWER</v>
          </cell>
          <cell r="C55" t="str">
            <v>pcs/шт</v>
          </cell>
          <cell r="D55" t="str">
            <v>GUANGDONG SILIQUE INTERNATIONAL  GROUP  MAUFAR CO.,LTD</v>
          </cell>
          <cell r="E55">
            <v>10</v>
          </cell>
          <cell r="F55">
            <v>1</v>
          </cell>
          <cell r="G55">
            <v>4.41</v>
          </cell>
          <cell r="H55">
            <v>44.1</v>
          </cell>
          <cell r="I55">
            <v>10</v>
          </cell>
          <cell r="M55">
            <v>6802999000</v>
          </cell>
        </row>
        <row r="56">
          <cell r="A56" t="str">
            <v>Accessories (Stone flowers)/Аксессуары (цветы из камня)</v>
          </cell>
          <cell r="B56" t="str">
            <v>YF117-2FLOWER</v>
          </cell>
          <cell r="C56" t="str">
            <v>pcs/шт</v>
          </cell>
          <cell r="D56" t="str">
            <v>GUANGDONG SILIQUE INTERNATIONAL  GROUP  MAUFAR CO.,LTD</v>
          </cell>
          <cell r="E56">
            <v>10</v>
          </cell>
          <cell r="F56">
            <v>1</v>
          </cell>
          <cell r="G56">
            <v>4.41</v>
          </cell>
          <cell r="H56">
            <v>44.1</v>
          </cell>
          <cell r="I56">
            <v>10</v>
          </cell>
          <cell r="M56">
            <v>6802999000</v>
          </cell>
        </row>
        <row r="57">
          <cell r="A57" t="str">
            <v>Accessories (Stone flowers)/Аксессуары (цветы из камня)</v>
          </cell>
          <cell r="B57" t="str">
            <v>YF120FLOWER</v>
          </cell>
          <cell r="C57" t="str">
            <v>pcs/шт</v>
          </cell>
          <cell r="D57" t="str">
            <v>GUANGDONG SILIQUE INTERNATIONAL  GROUP  MAUFAR CO.,LTD</v>
          </cell>
          <cell r="E57">
            <v>25</v>
          </cell>
          <cell r="F57">
            <v>1</v>
          </cell>
          <cell r="G57">
            <v>0.34</v>
          </cell>
          <cell r="H57">
            <v>8.5</v>
          </cell>
          <cell r="I57">
            <v>1</v>
          </cell>
          <cell r="M57">
            <v>6802999000</v>
          </cell>
        </row>
        <row r="58">
          <cell r="A58" t="str">
            <v>Accessories (Stone flowers)/Аксессуары (цветы из камня)</v>
          </cell>
          <cell r="B58" t="str">
            <v>YF121FLOWER</v>
          </cell>
          <cell r="C58" t="str">
            <v>pcs/шт</v>
          </cell>
          <cell r="D58" t="str">
            <v>GUANGDONG SILIQUE INTERNATIONAL  GROUP  MAUFAR CO.,LTD</v>
          </cell>
          <cell r="E58">
            <v>50</v>
          </cell>
          <cell r="F58">
            <v>1</v>
          </cell>
          <cell r="G58">
            <v>0.34</v>
          </cell>
          <cell r="H58">
            <v>17</v>
          </cell>
          <cell r="I58">
            <v>2</v>
          </cell>
          <cell r="M58">
            <v>6802999000</v>
          </cell>
        </row>
        <row r="59">
          <cell r="A59" t="str">
            <v>Accessories (Stone flowers)/Аксессуары (цветы из камня)</v>
          </cell>
          <cell r="B59" t="str">
            <v>YF123FLOWER</v>
          </cell>
          <cell r="C59" t="str">
            <v>pcs/шт</v>
          </cell>
          <cell r="D59" t="str">
            <v>GUANGDONG SILIQUE INTERNATIONAL  GROUP  MAUFAR CO.,LTD</v>
          </cell>
          <cell r="E59">
            <v>50</v>
          </cell>
          <cell r="F59">
            <v>1</v>
          </cell>
          <cell r="G59">
            <v>0.34</v>
          </cell>
          <cell r="H59">
            <v>17</v>
          </cell>
          <cell r="I59">
            <v>2</v>
          </cell>
          <cell r="M59">
            <v>6802999000</v>
          </cell>
        </row>
        <row r="60">
          <cell r="A60" t="str">
            <v>Accessories (Stone flowers)/Аксессуары (цветы из камня)</v>
          </cell>
          <cell r="B60" t="str">
            <v>YF124FLOWER</v>
          </cell>
          <cell r="C60" t="str">
            <v>pcs/шт</v>
          </cell>
          <cell r="D60" t="str">
            <v>GUANGDONG SILIQUE INTERNATIONAL  GROUP  MAUFAR CO.,LTD</v>
          </cell>
          <cell r="E60">
            <v>50</v>
          </cell>
          <cell r="F60">
            <v>1</v>
          </cell>
          <cell r="G60">
            <v>0.34</v>
          </cell>
          <cell r="H60">
            <v>17</v>
          </cell>
          <cell r="I60">
            <v>2</v>
          </cell>
          <cell r="M60">
            <v>6802999000</v>
          </cell>
        </row>
        <row r="61">
          <cell r="A61" t="str">
            <v>Accessories (Stone flowers)/Аксессуары (цветы из камня)</v>
          </cell>
          <cell r="B61" t="str">
            <v>YF125FLOWER</v>
          </cell>
          <cell r="C61" t="str">
            <v>pcs/шт</v>
          </cell>
          <cell r="D61" t="str">
            <v>GUANGDONG SILIQUE INTERNATIONAL  GROUP  MAUFAR CO.,LTD</v>
          </cell>
          <cell r="E61">
            <v>50</v>
          </cell>
          <cell r="F61">
            <v>1</v>
          </cell>
          <cell r="G61">
            <v>0.34</v>
          </cell>
          <cell r="H61">
            <v>17</v>
          </cell>
          <cell r="I61">
            <v>2</v>
          </cell>
          <cell r="M61">
            <v>6802999000</v>
          </cell>
        </row>
        <row r="62">
          <cell r="A62" t="str">
            <v>Accessories (Stone flowers)/Аксессуары (цветы из камня)</v>
          </cell>
          <cell r="B62" t="str">
            <v>YF130FLOWER</v>
          </cell>
          <cell r="C62" t="str">
            <v>pcs/шт</v>
          </cell>
          <cell r="D62" t="str">
            <v>GUANGDONG SILIQUE INTERNATIONAL  GROUP  MAUFAR CO.,LTD</v>
          </cell>
          <cell r="E62">
            <v>30</v>
          </cell>
          <cell r="F62">
            <v>1</v>
          </cell>
          <cell r="G62">
            <v>0.19</v>
          </cell>
          <cell r="H62">
            <v>5.7</v>
          </cell>
          <cell r="I62">
            <v>1</v>
          </cell>
          <cell r="M62">
            <v>6802999000</v>
          </cell>
        </row>
        <row r="63">
          <cell r="A63" t="str">
            <v>Accessories (Stone flowers)/Аксессуары (цветы из камня)</v>
          </cell>
          <cell r="B63" t="str">
            <v>YF131FLOWER</v>
          </cell>
          <cell r="C63" t="str">
            <v>pcs/шт</v>
          </cell>
          <cell r="D63" t="str">
            <v>GUANGDONG SILIQUE INTERNATIONAL  GROUP  MAUFAR CO.,LTD</v>
          </cell>
          <cell r="E63">
            <v>30</v>
          </cell>
          <cell r="F63">
            <v>1</v>
          </cell>
          <cell r="G63">
            <v>0.19</v>
          </cell>
          <cell r="H63">
            <v>5.7</v>
          </cell>
          <cell r="I63">
            <v>1</v>
          </cell>
          <cell r="M63">
            <v>6802999000</v>
          </cell>
        </row>
        <row r="64">
          <cell r="A64" t="str">
            <v>Accessories (Stone flowers)/Аксессуары (цветы из камня)</v>
          </cell>
          <cell r="B64" t="str">
            <v>YF133FLOWER</v>
          </cell>
          <cell r="C64" t="str">
            <v>pcs/шт</v>
          </cell>
          <cell r="D64" t="str">
            <v>GUANGDONG SILIQUE INTERNATIONAL  GROUP  MAUFAR CO.,LTD</v>
          </cell>
          <cell r="E64">
            <v>30</v>
          </cell>
          <cell r="F64">
            <v>1</v>
          </cell>
          <cell r="G64">
            <v>0.19</v>
          </cell>
          <cell r="H64">
            <v>5.7</v>
          </cell>
          <cell r="I64">
            <v>1</v>
          </cell>
          <cell r="M64">
            <v>6802999000</v>
          </cell>
        </row>
        <row r="65">
          <cell r="A65" t="str">
            <v>Accessories (Stone flowers)/Аксессуары (цветы из камня)</v>
          </cell>
          <cell r="B65" t="str">
            <v>YF135FLOWER</v>
          </cell>
          <cell r="C65" t="str">
            <v>pcs/шт</v>
          </cell>
          <cell r="D65" t="str">
            <v>GUANGDONG SILIQUE INTERNATIONAL  GROUP  MAUFAR CO.,LTD</v>
          </cell>
          <cell r="E65">
            <v>30</v>
          </cell>
          <cell r="F65">
            <v>1</v>
          </cell>
          <cell r="G65">
            <v>0.19</v>
          </cell>
          <cell r="H65">
            <v>5.7</v>
          </cell>
          <cell r="I65">
            <v>1</v>
          </cell>
          <cell r="M65">
            <v>6802999000</v>
          </cell>
        </row>
        <row r="66">
          <cell r="A66" t="str">
            <v>Accessories (Stone flowers)/Аксессуары (цветы из камня)</v>
          </cell>
          <cell r="B66" t="str">
            <v>YF182FLOWER</v>
          </cell>
          <cell r="C66" t="str">
            <v>pcs/шт</v>
          </cell>
          <cell r="D66" t="str">
            <v>GUANGDONG SILIQUE INTERNATIONAL  GROUP  MAUFAR CO.,LTD</v>
          </cell>
          <cell r="E66">
            <v>10</v>
          </cell>
          <cell r="F66">
            <v>1</v>
          </cell>
          <cell r="G66">
            <v>1.1200000000000001</v>
          </cell>
          <cell r="H66">
            <v>11.200000000000001</v>
          </cell>
          <cell r="I66">
            <v>1</v>
          </cell>
          <cell r="M66">
            <v>6802999000</v>
          </cell>
        </row>
        <row r="67">
          <cell r="A67" t="str">
            <v>Accessories (Stone flowers)/Аксессуары (цветы из камня)</v>
          </cell>
          <cell r="B67" t="str">
            <v>YF184FLOWER</v>
          </cell>
          <cell r="C67" t="str">
            <v>pcs/шт</v>
          </cell>
          <cell r="D67" t="str">
            <v>GUANGDONG SILIQUE INTERNATIONAL  GROUP  MAUFAR CO.,LTD</v>
          </cell>
          <cell r="E67">
            <v>10</v>
          </cell>
          <cell r="F67">
            <v>1</v>
          </cell>
          <cell r="G67">
            <v>1.1200000000000001</v>
          </cell>
          <cell r="H67">
            <v>11.200000000000001</v>
          </cell>
          <cell r="I67">
            <v>1</v>
          </cell>
          <cell r="M67">
            <v>6802999000</v>
          </cell>
        </row>
        <row r="68">
          <cell r="A68" t="str">
            <v>Accessories (Stone flowers)/Аксессуары (цветы из камня)</v>
          </cell>
          <cell r="B68" t="str">
            <v>YF200FLOWER</v>
          </cell>
          <cell r="C68" t="str">
            <v>pcs/шт</v>
          </cell>
          <cell r="D68" t="str">
            <v>GUANGDONG SILIQUE INTERNATIONAL  GROUP  MAUFAR CO.,LTD</v>
          </cell>
          <cell r="E68">
            <v>20</v>
          </cell>
          <cell r="F68">
            <v>1</v>
          </cell>
          <cell r="G68">
            <v>1.1200000000000001</v>
          </cell>
          <cell r="H68">
            <v>22.400000000000002</v>
          </cell>
          <cell r="I68">
            <v>2</v>
          </cell>
          <cell r="M68">
            <v>6802999000</v>
          </cell>
        </row>
        <row r="69">
          <cell r="A69" t="str">
            <v>Accessories (Stone flowers)/Аксессуары (цветы из камня)</v>
          </cell>
          <cell r="B69" t="str">
            <v>YF209FLOWER</v>
          </cell>
          <cell r="C69" t="str">
            <v>pcs/шт</v>
          </cell>
          <cell r="D69" t="str">
            <v>GUANGDONG SILIQUE INTERNATIONAL  GROUP  MAUFAR CO.,LTD</v>
          </cell>
          <cell r="E69">
            <v>8</v>
          </cell>
          <cell r="F69">
            <v>1</v>
          </cell>
          <cell r="G69">
            <v>1.75</v>
          </cell>
          <cell r="H69">
            <v>14</v>
          </cell>
          <cell r="I69">
            <v>2</v>
          </cell>
          <cell r="M69">
            <v>6802999000</v>
          </cell>
        </row>
        <row r="70">
          <cell r="A70" t="str">
            <v>Accessories (Stone flowers)/Аксессуары (цветы из камня)</v>
          </cell>
          <cell r="B70" t="str">
            <v>YF230FLOWER</v>
          </cell>
          <cell r="C70" t="str">
            <v>pcs/шт</v>
          </cell>
          <cell r="D70" t="str">
            <v>GUANGDONG SILIQUE INTERNATIONAL  GROUP  MAUFAR CO.,LTD</v>
          </cell>
          <cell r="E70">
            <v>25</v>
          </cell>
          <cell r="F70">
            <v>1</v>
          </cell>
          <cell r="G70">
            <v>0.34</v>
          </cell>
          <cell r="H70">
            <v>8.5</v>
          </cell>
          <cell r="I70">
            <v>1</v>
          </cell>
          <cell r="M70">
            <v>6802999000</v>
          </cell>
        </row>
        <row r="71">
          <cell r="A71" t="str">
            <v>Accessories (Stone flowers)/Аксессуары (цветы из камня)</v>
          </cell>
          <cell r="B71" t="str">
            <v>YF234FLOWER</v>
          </cell>
          <cell r="C71" t="str">
            <v>pcs/шт</v>
          </cell>
          <cell r="D71" t="str">
            <v>GUANGDONG SILIQUE INTERNATIONAL  GROUP  MAUFAR CO.,LTD</v>
          </cell>
          <cell r="E71">
            <v>25</v>
          </cell>
          <cell r="F71">
            <v>1</v>
          </cell>
          <cell r="G71">
            <v>0.34</v>
          </cell>
          <cell r="H71">
            <v>8.5</v>
          </cell>
          <cell r="I71">
            <v>1</v>
          </cell>
          <cell r="M71">
            <v>6802999000</v>
          </cell>
        </row>
        <row r="72">
          <cell r="A72" t="str">
            <v>Accessories (Stone flowers)/Аксессуары (цветы из камня)</v>
          </cell>
          <cell r="B72" t="str">
            <v>YF236FLOWER</v>
          </cell>
          <cell r="C72" t="str">
            <v>pcs/шт</v>
          </cell>
          <cell r="D72" t="str">
            <v>GUANGDONG SILIQUE INTERNATIONAL  GROUP  MAUFAR CO.,LTD</v>
          </cell>
          <cell r="E72">
            <v>50</v>
          </cell>
          <cell r="F72">
            <v>1</v>
          </cell>
          <cell r="G72">
            <v>0.34</v>
          </cell>
          <cell r="H72">
            <v>17</v>
          </cell>
          <cell r="I72">
            <v>2</v>
          </cell>
          <cell r="M72">
            <v>6802999000</v>
          </cell>
        </row>
        <row r="73">
          <cell r="A73" t="str">
            <v>Accessories (Stone flowers)/Аксессуары (цветы из камня)</v>
          </cell>
          <cell r="B73" t="str">
            <v>YF307FLOWER</v>
          </cell>
          <cell r="C73" t="str">
            <v>pcs/шт</v>
          </cell>
          <cell r="D73" t="str">
            <v>GUANGDONG SILIQUE INTERNATIONAL  GROUP  MAUFAR CO.,LTD</v>
          </cell>
          <cell r="E73">
            <v>75</v>
          </cell>
          <cell r="F73">
            <v>1</v>
          </cell>
          <cell r="G73">
            <v>0.34</v>
          </cell>
          <cell r="H73">
            <v>25.500000000000004</v>
          </cell>
          <cell r="I73">
            <v>3</v>
          </cell>
          <cell r="M73">
            <v>6802999000</v>
          </cell>
        </row>
        <row r="74">
          <cell r="A74" t="str">
            <v>Accessories (Stone flowers)/Аксессуары (цветы из камня)</v>
          </cell>
          <cell r="B74" t="str">
            <v>YF308FLOWER</v>
          </cell>
          <cell r="C74" t="str">
            <v>pcs/шт</v>
          </cell>
          <cell r="D74" t="str">
            <v>GUANGDONG SILIQUE INTERNATIONAL  GROUP  MAUFAR CO.,LTD</v>
          </cell>
          <cell r="E74">
            <v>50</v>
          </cell>
          <cell r="F74">
            <v>1</v>
          </cell>
          <cell r="G74">
            <v>0.34</v>
          </cell>
          <cell r="H74">
            <v>17</v>
          </cell>
          <cell r="I74">
            <v>2</v>
          </cell>
          <cell r="M74">
            <v>6802999000</v>
          </cell>
        </row>
        <row r="75">
          <cell r="A75" t="str">
            <v>Accessories (Stone flowers)/Аксессуары (цветы из камня)</v>
          </cell>
          <cell r="B75" t="str">
            <v>YF309FLOWER</v>
          </cell>
          <cell r="C75" t="str">
            <v>pcs/шт</v>
          </cell>
          <cell r="D75" t="str">
            <v>GUANGDONG SILIQUE INTERNATIONAL  GROUP  MAUFAR CO.,LTD</v>
          </cell>
          <cell r="E75">
            <v>20</v>
          </cell>
          <cell r="F75">
            <v>1</v>
          </cell>
          <cell r="G75">
            <v>0.34</v>
          </cell>
          <cell r="H75">
            <v>6.8000000000000007</v>
          </cell>
          <cell r="I75">
            <v>1</v>
          </cell>
          <cell r="M75">
            <v>6802999000</v>
          </cell>
        </row>
        <row r="76">
          <cell r="A76" t="str">
            <v>Accessories (Stone flowers)/Аксессуары (цветы из камня)</v>
          </cell>
          <cell r="B76" t="str">
            <v>YF609ORANGE</v>
          </cell>
          <cell r="C76" t="str">
            <v>pcs/шт</v>
          </cell>
          <cell r="D76" t="str">
            <v>GUANGDONG SILIQUE INTERNATIONAL  GROUP  MAUFAR CO.,LTD</v>
          </cell>
          <cell r="E76">
            <v>100</v>
          </cell>
          <cell r="F76">
            <v>1</v>
          </cell>
          <cell r="G76">
            <v>0.26</v>
          </cell>
          <cell r="H76">
            <v>26</v>
          </cell>
          <cell r="I76">
            <v>4</v>
          </cell>
          <cell r="M76">
            <v>6802999000</v>
          </cell>
        </row>
        <row r="77">
          <cell r="A77" t="str">
            <v>Accessories (Stone flowers)/Аксессуары (цветы из камня)</v>
          </cell>
          <cell r="B77" t="str">
            <v>F001-10FLOWER</v>
          </cell>
          <cell r="C77" t="str">
            <v>pcs/шт</v>
          </cell>
          <cell r="D77" t="str">
            <v>GUANGDONG SILIQUE INTERNATIONAL  GROUP  MAUFAR CO.,LTD</v>
          </cell>
          <cell r="E77">
            <v>10</v>
          </cell>
          <cell r="F77">
            <v>1</v>
          </cell>
          <cell r="G77">
            <v>0.98</v>
          </cell>
          <cell r="H77">
            <v>9.8000000000000007</v>
          </cell>
          <cell r="I77">
            <v>1</v>
          </cell>
          <cell r="M77">
            <v>6802999000</v>
          </cell>
        </row>
        <row r="78">
          <cell r="A78" t="str">
            <v>Accessories (Stone flowers)/Аксессуары (цветы из камня)</v>
          </cell>
          <cell r="B78" t="str">
            <v>F275FLOWER</v>
          </cell>
          <cell r="C78" t="str">
            <v>pcs/шт</v>
          </cell>
          <cell r="D78" t="str">
            <v>GUANGDONG SILIQUE INTERNATIONAL  GROUP  MAUFAR CO.,LTD</v>
          </cell>
          <cell r="E78">
            <v>10</v>
          </cell>
          <cell r="F78">
            <v>1</v>
          </cell>
          <cell r="G78">
            <v>1.54</v>
          </cell>
          <cell r="H78">
            <v>15.4</v>
          </cell>
          <cell r="I78">
            <v>1</v>
          </cell>
          <cell r="M78">
            <v>6802999000</v>
          </cell>
        </row>
        <row r="79">
          <cell r="A79" t="str">
            <v>Accessories (Stone flowers)/Аксессуары (цветы из камня)</v>
          </cell>
          <cell r="B79" t="str">
            <v>F494-2FLOWER</v>
          </cell>
          <cell r="C79" t="str">
            <v>pcs/шт</v>
          </cell>
          <cell r="D79" t="str">
            <v>GUANGDONG SILIQUE INTERNATIONAL  GROUP  MAUFAR CO.,LTD</v>
          </cell>
          <cell r="E79">
            <v>25</v>
          </cell>
          <cell r="F79">
            <v>1</v>
          </cell>
          <cell r="G79">
            <v>0.34</v>
          </cell>
          <cell r="H79">
            <v>8.5</v>
          </cell>
          <cell r="I79">
            <v>1</v>
          </cell>
          <cell r="M79">
            <v>6802999000</v>
          </cell>
        </row>
        <row r="80">
          <cell r="A80" t="str">
            <v>Accessories (Stone flowers)/Аксессуары (цветы из камня)</v>
          </cell>
          <cell r="B80" t="str">
            <v>F494-232redFLOWER</v>
          </cell>
          <cell r="C80" t="str">
            <v>pcs/шт</v>
          </cell>
          <cell r="D80" t="str">
            <v>GUANGDONG SILIQUE INTERNATIONAL  GROUP  MAUFAR CO.,LTD</v>
          </cell>
          <cell r="E80">
            <v>50</v>
          </cell>
          <cell r="F80">
            <v>1</v>
          </cell>
          <cell r="G80">
            <v>0.34</v>
          </cell>
          <cell r="H80">
            <v>17</v>
          </cell>
          <cell r="I80">
            <v>2</v>
          </cell>
          <cell r="M80">
            <v>6802999000</v>
          </cell>
        </row>
        <row r="81">
          <cell r="A81" t="str">
            <v>Accessories (Stone flowers)/Аксессуары (цветы из камня)</v>
          </cell>
          <cell r="B81" t="str">
            <v>YF128FLOWER</v>
          </cell>
          <cell r="C81" t="str">
            <v>pcs/шт</v>
          </cell>
          <cell r="D81" t="str">
            <v>GUANGDONG SILIQUE INTERNATIONAL  GROUP  MAUFAR CO.,LTD</v>
          </cell>
          <cell r="E81">
            <v>50</v>
          </cell>
          <cell r="F81">
            <v>1</v>
          </cell>
          <cell r="G81">
            <v>0.34</v>
          </cell>
          <cell r="H81">
            <v>17</v>
          </cell>
          <cell r="I81">
            <v>2</v>
          </cell>
          <cell r="M81">
            <v>6802999000</v>
          </cell>
        </row>
        <row r="82">
          <cell r="A82" t="str">
            <v>Accessories (Stone flowers)/Аксессуары (цветы из камня)</v>
          </cell>
          <cell r="B82" t="str">
            <v>YF228FLOWER</v>
          </cell>
          <cell r="C82" t="str">
            <v>pcs/шт</v>
          </cell>
          <cell r="D82" t="str">
            <v>GUANGDONG SILIQUE INTERNATIONAL  GROUP  MAUFAR CO.,LTD</v>
          </cell>
          <cell r="E82">
            <v>75</v>
          </cell>
          <cell r="F82">
            <v>1</v>
          </cell>
          <cell r="G82">
            <v>1.18</v>
          </cell>
          <cell r="H82">
            <v>88.5</v>
          </cell>
          <cell r="I82">
            <v>3</v>
          </cell>
          <cell r="M82">
            <v>6802999000</v>
          </cell>
        </row>
        <row r="83">
          <cell r="A83" t="str">
            <v>Accessories (Stone flowers)/Аксессуары (цветы из камня)</v>
          </cell>
          <cell r="B83" t="str">
            <v>F593FLOWER</v>
          </cell>
          <cell r="C83" t="str">
            <v>pcs/шт</v>
          </cell>
          <cell r="D83" t="str">
            <v>GUANGDONG SILIQUE INTERNATIONAL  GROUP  MAUFAR CO.,LTD</v>
          </cell>
          <cell r="E83">
            <v>20</v>
          </cell>
          <cell r="F83">
            <v>1</v>
          </cell>
          <cell r="G83">
            <v>0.63</v>
          </cell>
          <cell r="H83">
            <v>12.6</v>
          </cell>
          <cell r="I83">
            <v>1</v>
          </cell>
          <cell r="M83">
            <v>6802999000</v>
          </cell>
        </row>
        <row r="84">
          <cell r="A84" t="str">
            <v>Accessories (Stone flowers)/Аксессуары (цветы из камня)</v>
          </cell>
          <cell r="B84" t="str">
            <v>YF134FLOWER</v>
          </cell>
          <cell r="C84" t="str">
            <v>pcs/шт</v>
          </cell>
          <cell r="D84" t="str">
            <v>GUANGDONG SILIQUE INTERNATIONAL  GROUP  MAUFAR CO.,LTD</v>
          </cell>
          <cell r="E84">
            <v>30</v>
          </cell>
          <cell r="F84">
            <v>1</v>
          </cell>
          <cell r="G84">
            <v>0.19</v>
          </cell>
          <cell r="H84">
            <v>5.7</v>
          </cell>
          <cell r="I84">
            <v>1</v>
          </cell>
          <cell r="M84">
            <v>6802999000</v>
          </cell>
        </row>
        <row r="85">
          <cell r="A85" t="str">
            <v>Accessories (Stone flowers)/Аксессуары (цветы из камня)</v>
          </cell>
          <cell r="B85" t="str">
            <v>YF232FLOWER</v>
          </cell>
          <cell r="C85" t="str">
            <v>pcs/шт</v>
          </cell>
          <cell r="D85" t="str">
            <v>GUANGDONG SILIQUE INTERNATIONAL  GROUP  MAUFAR CO.,LTD</v>
          </cell>
          <cell r="E85">
            <v>50</v>
          </cell>
          <cell r="F85">
            <v>1</v>
          </cell>
          <cell r="G85">
            <v>0.34</v>
          </cell>
          <cell r="H85">
            <v>17</v>
          </cell>
          <cell r="I85">
            <v>2</v>
          </cell>
          <cell r="M85">
            <v>6802999000</v>
          </cell>
        </row>
        <row r="86">
          <cell r="A86" t="str">
            <v>Accessories (Stone flowers)/Аксессуары (цветы из камня)</v>
          </cell>
          <cell r="B86" t="str">
            <v>YF306FLOWER</v>
          </cell>
          <cell r="C86" t="str">
            <v>pcs/шт</v>
          </cell>
          <cell r="D86" t="str">
            <v>GUANGDONG SILIQUE INTERNATIONAL  GROUP  MAUFAR CO.,LTD</v>
          </cell>
          <cell r="E86">
            <v>25</v>
          </cell>
          <cell r="F86">
            <v>1</v>
          </cell>
          <cell r="G86">
            <v>0.34</v>
          </cell>
          <cell r="H86">
            <v>8.5</v>
          </cell>
          <cell r="I86">
            <v>1</v>
          </cell>
          <cell r="M86">
            <v>6802999000</v>
          </cell>
        </row>
        <row r="87">
          <cell r="C87" t="str">
            <v>TOTAL/ ИТОГО</v>
          </cell>
          <cell r="E87">
            <v>1670</v>
          </cell>
          <cell r="H87">
            <v>888.83</v>
          </cell>
          <cell r="I87">
            <v>93</v>
          </cell>
        </row>
        <row r="89">
          <cell r="A89" t="str">
            <v>Область применения: аксессуары для оформления интерьера</v>
          </cell>
        </row>
        <row r="95">
          <cell r="A95" t="str">
            <v>Грузоотправитель: InnerMongoliaAsiaEuropeInternationgalLogisticsLimitedCo,Ltd, ComprehensiveBuilding，ChinaRailwayExpressHubLogisticsBase, Qisumu, TsiningDistrict, Ulanqab, InnerMongolia, China, tel: +86 13501379948 / Иннер Монголия Азия Европа Интернешнл Логистикс Лимитед Ко., Лтд. КомпрехенсивБилдинг，ЧайнаРэилвэй Экспресс ХабЛоджистиксБэйз, Кисуму, Цинский район, Уланкаб, Внутренняя Монголия, Китай, тел: +86 13501379948 по поручению от XUZHOU DOUBLE RINGS MACHINERY CO., LTD.</v>
          </cell>
        </row>
        <row r="101">
          <cell r="A101" t="str">
            <v>Грузополучатель: АО ТАСКОМ  249020 КАЛУЖСКАЯ ОБЛАСТЬ БОРОВСКИЙ РАЙОН СЕЛО ВОРСИНО СЕВЕРНАЯ ПРОМЫШЛЕННАЯ ЗОНА ВЛАДЕНИЕ 6 СТРОЕНИЕ 1  Россия  по поручению от LLC “RESPECT” / ООО "РЕСПЕКТ"</v>
          </cell>
        </row>
      </sheetData>
      <sheetData sheetId="1"/>
      <sheetData sheetId="2"/>
      <sheetData sheetId="3"/>
      <sheetData sheetId="4"/>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o"/>
      <sheetName val="Расчет"/>
      <sheetName val="INV"/>
      <sheetName val="PL"/>
      <sheetName val="SL BL"/>
      <sheetName val="M BL"/>
      <sheetName val="&quot;A&quot;"/>
      <sheetName val="SL_BL"/>
      <sheetName val="M_BL"/>
      <sheetName val="Лист1"/>
      <sheetName val="Arkusz1"/>
      <sheetName val="SL_BL1"/>
      <sheetName val="M_BL1"/>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RUSSWERE"/>
      <sheetName val="invoice"/>
      <sheetName val="ЗАКАЗ СРТ"/>
      <sheetName val="Отправитель"/>
      <sheetName val="ЗАКАЗ_СРТ"/>
      <sheetName val="SIRTEK"/>
      <sheetName val="день"/>
      <sheetName val="сч-та"/>
      <sheetName val="Контакты "/>
      <sheetName val="дела Лена"/>
      <sheetName val="дела КЕ"/>
      <sheetName val="ОТС 2012"/>
      <sheetName val="Теко"/>
      <sheetName val="Атия"/>
      <sheetName val="Форум"/>
      <sheetName val="ТЕКСРУС-Новотранс"/>
      <sheetName val="Диалог 2012"/>
      <sheetName val="Умная Л"/>
      <sheetName val="СВТС-Балтэк"/>
      <sheetName val="Левин"/>
      <sheetName val="Роладос"/>
      <sheetName val="Рябина"/>
      <sheetName val="Запросы"/>
      <sheetName val="Роладос СБОРКА"/>
      <sheetName val="Лист1"/>
      <sheetName val="Лист2"/>
      <sheetName val="Лист3"/>
      <sheetName val="Лист4"/>
      <sheetName val="ЗАКАЗ_СРТ1"/>
      <sheetName val="Расчет"/>
      <sheetName val="Контакты_"/>
      <sheetName val="дела_Лена"/>
      <sheetName val="дела_КЕ"/>
      <sheetName val="ОТС_2012"/>
      <sheetName val="Диалог_2012"/>
      <sheetName val="Умная_Л"/>
      <sheetName val="Роладос_СБОРКА"/>
      <sheetName val="_x0000_ĄĄ¿_x0000__x0008__x0008_ǿ_x0000__x0000__x0008_ο_x0000__x0000__x0002_В_x0000_￼_xffff__x0015__x0016__x0017__x0018__x0019__x001a__x001b__x001c__x001d__x001e__x001f_ "/>
      <sheetName val=""/>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Общий"/>
      <sheetName val="000"/>
      <sheetName val="Накладная"/>
      <sheetName val="Себест"/>
      <sheetName val="0031@"/>
      <sheetName val="0049@"/>
      <sheetName val="0078@"/>
      <sheetName val="0089@"/>
      <sheetName val="0093@"/>
      <sheetName val="0094@"/>
      <sheetName val="0095@"/>
      <sheetName val="0101@"/>
      <sheetName val="0153@"/>
      <sheetName val="0154@"/>
      <sheetName val="0157@"/>
      <sheetName val="0176@"/>
      <sheetName val="0210@"/>
      <sheetName val="0211@"/>
      <sheetName val="0212@"/>
      <sheetName val="0252@"/>
      <sheetName val="0253@"/>
      <sheetName val="0263@"/>
      <sheetName val="0292@"/>
      <sheetName val="0302@"/>
      <sheetName val="0304@"/>
      <sheetName val="0305@"/>
      <sheetName val="0356@"/>
      <sheetName val="0357@"/>
      <sheetName val="0364@"/>
      <sheetName val="50007@"/>
      <sheetName val="50020@"/>
      <sheetName val="50041@"/>
      <sheetName val="50043@"/>
      <sheetName val="50076@"/>
      <sheetName val="50078@"/>
      <sheetName val="Лист1"/>
      <sheetName val="001"/>
      <sheetName val="002"/>
      <sheetName val="003"/>
      <sheetName val="50406"/>
      <sheetName val="50426"/>
      <sheetName val="50431"/>
      <sheetName val="50436"/>
      <sheetName val="Всего"/>
      <sheetName val="50354@"/>
      <sheetName val="50355@"/>
      <sheetName val="50356@"/>
      <sheetName val="Приходы"/>
      <sheetName val="Себ2"/>
      <sheetName val="Вагон"/>
      <sheetName val="50103@"/>
      <sheetName val="50106@"/>
      <sheetName val="50118@"/>
      <sheetName val="50119@"/>
      <sheetName val="Рига"/>
      <sheetName val="Бонус"/>
      <sheetName val="DDP_euro"/>
      <sheetName val="Скидка"/>
      <sheetName val="Прайс1"/>
      <sheetName val="Прайс2"/>
      <sheetName val="1"/>
      <sheetName val="Плиты"/>
      <sheetName val="Стир+Выт"/>
      <sheetName val="Вытяжки"/>
      <sheetName val="Сетка"/>
      <sheetName val="Встройка"/>
      <sheetName val="Скидки"/>
      <sheetName val="Гитлин"/>
      <sheetName val="Ленинский"/>
      <sheetName val="Черк_Лен"/>
      <sheetName val="Лен_Черк"/>
      <sheetName val="2"/>
      <sheetName val="3"/>
      <sheetName val="50354"/>
      <sheetName val="50355"/>
      <sheetName val="50356"/>
      <sheetName val="Лист3"/>
      <sheetName val="Лист2"/>
    </sheetNames>
    <sheetDataSet>
      <sheetData sheetId="0" refreshError="1">
        <row r="2">
          <cell r="E2" t="str">
            <v>GA 40 ME COBB</v>
          </cell>
        </row>
        <row r="3">
          <cell r="E3" t="str">
            <v>GA 40 ME COMM</v>
          </cell>
        </row>
        <row r="4">
          <cell r="E4" t="str">
            <v>GA 40 ME CONN</v>
          </cell>
        </row>
        <row r="5">
          <cell r="E5" t="str">
            <v>GA 40 ME COXL</v>
          </cell>
        </row>
        <row r="6">
          <cell r="E6" t="str">
            <v>PA 40 RM COXL</v>
          </cell>
        </row>
        <row r="7">
          <cell r="E7" t="str">
            <v>PA 40 SM BOXL</v>
          </cell>
        </row>
        <row r="8">
          <cell r="E8" t="str">
            <v>PA 40 SR BOXL</v>
          </cell>
        </row>
        <row r="9">
          <cell r="E9" t="str">
            <v>FA 40 ME E0BB</v>
          </cell>
        </row>
        <row r="10">
          <cell r="E10" t="str">
            <v>FA 40 ME E0XL</v>
          </cell>
        </row>
        <row r="11">
          <cell r="E11" t="str">
            <v>FA 40 MT E0NC</v>
          </cell>
        </row>
        <row r="12">
          <cell r="E12" t="str">
            <v>FR 50 ME V0XL</v>
          </cell>
        </row>
        <row r="13">
          <cell r="E13" t="str">
            <v>FR 50 MT V0XS</v>
          </cell>
        </row>
        <row r="14">
          <cell r="E14" t="str">
            <v>PA 40 CF W</v>
          </cell>
        </row>
        <row r="15">
          <cell r="E15" t="str">
            <v>PA 40 CF X</v>
          </cell>
        </row>
        <row r="16">
          <cell r="E16" t="str">
            <v>PA 50 CF X</v>
          </cell>
        </row>
        <row r="17">
          <cell r="E17" t="str">
            <v>GA 31 ME CBXS</v>
          </cell>
        </row>
        <row r="18">
          <cell r="E18" t="str">
            <v>PA 31 SM EBXS</v>
          </cell>
        </row>
        <row r="19">
          <cell r="E19" t="str">
            <v>PA 40 RS W</v>
          </cell>
        </row>
        <row r="20">
          <cell r="E20" t="str">
            <v>PA 40 RS B</v>
          </cell>
        </row>
        <row r="21">
          <cell r="E21" t="str">
            <v>PT 40 RE X</v>
          </cell>
        </row>
        <row r="22">
          <cell r="E22" t="str">
            <v>GA 40 ME COBB V</v>
          </cell>
        </row>
        <row r="23">
          <cell r="E23" t="str">
            <v>GA 40 ME COMM V</v>
          </cell>
        </row>
        <row r="24">
          <cell r="E24" t="str">
            <v>GA 40 ME CONN V</v>
          </cell>
        </row>
        <row r="25">
          <cell r="E25" t="str">
            <v>GA 40 ME COXL V</v>
          </cell>
        </row>
        <row r="26">
          <cell r="E26" t="str">
            <v>GA 31 ME CBXS V</v>
          </cell>
        </row>
        <row r="27">
          <cell r="E27" t="str">
            <v>PA 40 RM COXL V</v>
          </cell>
        </row>
        <row r="28">
          <cell r="E28" t="str">
            <v>PA 40 SM BOXL V</v>
          </cell>
        </row>
        <row r="29">
          <cell r="E29" t="str">
            <v>PA 40 SR BOXL V</v>
          </cell>
        </row>
        <row r="30">
          <cell r="E30" t="str">
            <v>PA 31 SM EBXS V</v>
          </cell>
        </row>
        <row r="31">
          <cell r="E31" t="str">
            <v>FA 40 ME E0BB V</v>
          </cell>
        </row>
        <row r="32">
          <cell r="E32" t="str">
            <v>FA 40 ME E0XL V</v>
          </cell>
        </row>
        <row r="33">
          <cell r="E33" t="str">
            <v>FA 40 MT E0NC V</v>
          </cell>
        </row>
        <row r="34">
          <cell r="E34" t="str">
            <v>FR 50 ME V0XL V</v>
          </cell>
        </row>
        <row r="35">
          <cell r="E35" t="str">
            <v>FR 50 MT V0XS V</v>
          </cell>
        </row>
        <row r="36">
          <cell r="E36" t="str">
            <v>PA 40 CF W V</v>
          </cell>
        </row>
        <row r="37">
          <cell r="E37" t="str">
            <v>PA 40 CF X V</v>
          </cell>
        </row>
        <row r="38">
          <cell r="E38" t="str">
            <v>PA 50 CF X V</v>
          </cell>
        </row>
        <row r="39">
          <cell r="E39" t="str">
            <v>PA 40 RS W V</v>
          </cell>
        </row>
        <row r="40">
          <cell r="E40" t="str">
            <v>PA 40 RS B V</v>
          </cell>
        </row>
        <row r="41">
          <cell r="E41" t="str">
            <v>PT 40 RE X V</v>
          </cell>
        </row>
        <row r="42">
          <cell r="E42" t="str">
            <v>CA 40 CE E0XL V</v>
          </cell>
        </row>
        <row r="43">
          <cell r="E43" t="str">
            <v>SP 40 TA EOBB V</v>
          </cell>
        </row>
        <row r="44">
          <cell r="E44" t="str">
            <v>SP 40 TA EONN V</v>
          </cell>
        </row>
        <row r="45">
          <cell r="E45" t="str">
            <v>SR 40 TA EONN V</v>
          </cell>
        </row>
        <row r="46">
          <cell r="E46" t="str">
            <v>SR 50 CTE0 NS V</v>
          </cell>
        </row>
        <row r="47">
          <cell r="E47" t="str">
            <v>SR 50 CTE0 NA V</v>
          </cell>
        </row>
        <row r="48">
          <cell r="E48" t="str">
            <v>SR 50 CTE0 BA V</v>
          </cell>
        </row>
        <row r="49">
          <cell r="E49" t="str">
            <v>SR 50 CTE0 RA V</v>
          </cell>
        </row>
        <row r="50">
          <cell r="E50" t="str">
            <v>PR 58</v>
          </cell>
        </row>
        <row r="51">
          <cell r="E51" t="str">
            <v>PR 58 W</v>
          </cell>
        </row>
        <row r="52">
          <cell r="E52" t="str">
            <v>PE 58</v>
          </cell>
        </row>
        <row r="53">
          <cell r="E53" t="str">
            <v>PE 58 E 1</v>
          </cell>
        </row>
        <row r="54">
          <cell r="E54" t="str">
            <v>PEO 58 E 2</v>
          </cell>
        </row>
        <row r="55">
          <cell r="E55" t="str">
            <v>PE 75 E 2 T</v>
          </cell>
        </row>
        <row r="56">
          <cell r="E56" t="str">
            <v>WA 04 CE AW</v>
          </cell>
        </row>
        <row r="57">
          <cell r="E57" t="str">
            <v>WA 04 CE SX</v>
          </cell>
        </row>
        <row r="58">
          <cell r="E58" t="str">
            <v>MA 04 BEAB XS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Ан"/>
      <sheetName val="График"/>
      <sheetName val="для терм"/>
      <sheetName val="CMR (KV)"/>
      <sheetName val="TIR"/>
      <sheetName val="Инвойс"/>
      <sheetName val="Лист1"/>
      <sheetName val="Инвойс рус"/>
      <sheetName val="ПРАЙС"/>
      <sheetName val="PackList"/>
      <sheetName val="Прил"/>
      <sheetName val="серт"/>
      <sheetName val="ПАРИ"/>
      <sheetName val="full"/>
      <sheetName val="furEX"/>
      <sheetName val="накл"/>
    </sheetNames>
    <sheetDataSet>
      <sheetData sheetId="0" refreshError="1"/>
      <sheetData sheetId="1"/>
      <sheetData sheetId="2" refreshError="1">
        <row r="1">
          <cell r="A1" t="str">
            <v>Модель</v>
          </cell>
          <cell r="B1" t="str">
            <v>Страна</v>
          </cell>
          <cell r="C1" t="str">
            <v>Имя рус</v>
          </cell>
          <cell r="D1" t="str">
            <v>Имя англ</v>
          </cell>
          <cell r="E1" t="str">
            <v>штук</v>
          </cell>
          <cell r="F1" t="str">
            <v>мест</v>
          </cell>
          <cell r="G1" t="str">
            <v>вес</v>
          </cell>
          <cell r="H1" t="str">
            <v>вес нетто</v>
          </cell>
          <cell r="I1" t="str">
            <v>код</v>
          </cell>
          <cell r="J1" t="str">
            <v>сумма</v>
          </cell>
        </row>
        <row r="2">
          <cell r="A2" t="str">
            <v>ASSIO</v>
          </cell>
          <cell r="B2" t="str">
            <v>ITALY</v>
          </cell>
          <cell r="C2" t="str">
            <v>КОЖАННЫЕ ЧЕХЛЫ НА ЦАРГИ КРОВАТИ</v>
          </cell>
          <cell r="D2" t="str">
            <v>LEATHER COVERS FOR THE SIDE BARS</v>
          </cell>
          <cell r="E2">
            <v>3</v>
          </cell>
          <cell r="F2">
            <v>1</v>
          </cell>
          <cell r="G2">
            <v>8.8000000000000007</v>
          </cell>
          <cell r="H2">
            <v>8.8000000000000007</v>
          </cell>
          <cell r="I2" t="str">
            <v>4202 91 8000</v>
          </cell>
          <cell r="J2">
            <v>20</v>
          </cell>
        </row>
        <row r="4">
          <cell r="A4" t="str">
            <v>BERLONI</v>
          </cell>
          <cell r="B4" t="str">
            <v>ITALY</v>
          </cell>
          <cell r="C4" t="str">
            <v>МОЙКИ КУХОННЫЕ ИЗ ФРАГРАНИТА (керамика)</v>
          </cell>
          <cell r="D4" t="str">
            <v>KITCHEN SINK</v>
          </cell>
          <cell r="E4">
            <v>2</v>
          </cell>
          <cell r="F4">
            <v>2</v>
          </cell>
          <cell r="G4">
            <v>82.4</v>
          </cell>
          <cell r="H4">
            <v>76</v>
          </cell>
          <cell r="I4" t="str">
            <v>6910 90 0000</v>
          </cell>
          <cell r="J4">
            <v>108</v>
          </cell>
        </row>
        <row r="6">
          <cell r="A6" t="str">
            <v>VICENTE ZARAGOZA</v>
          </cell>
          <cell r="B6" t="str">
            <v>SPAIN</v>
          </cell>
          <cell r="C6" t="str">
            <v>ЗЕРКАЛА В РАМАХ</v>
          </cell>
          <cell r="D6" t="str">
            <v>MIRRORS</v>
          </cell>
          <cell r="E6">
            <v>9</v>
          </cell>
          <cell r="F6">
            <v>5</v>
          </cell>
          <cell r="G6">
            <v>251</v>
          </cell>
          <cell r="H6">
            <v>230</v>
          </cell>
          <cell r="I6" t="str">
            <v>7009 92 0000</v>
          </cell>
          <cell r="J6">
            <v>333</v>
          </cell>
        </row>
        <row r="8">
          <cell r="A8" t="str">
            <v>BERLONI</v>
          </cell>
          <cell r="B8" t="str">
            <v>ITALY</v>
          </cell>
          <cell r="C8" t="str">
            <v>ВЫТЯЖКИ</v>
          </cell>
          <cell r="D8" t="str">
            <v>EXHAUST VENTILATIONS</v>
          </cell>
          <cell r="E8">
            <v>8</v>
          </cell>
          <cell r="F8">
            <v>8</v>
          </cell>
          <cell r="G8">
            <v>201.8</v>
          </cell>
          <cell r="H8">
            <v>185</v>
          </cell>
          <cell r="I8" t="str">
            <v>8414 60 0000</v>
          </cell>
          <cell r="J8">
            <v>200</v>
          </cell>
        </row>
        <row r="10">
          <cell r="A10" t="str">
            <v>VICENTE ZARAGOZA</v>
          </cell>
          <cell r="B10" t="str">
            <v>SPAIN</v>
          </cell>
          <cell r="C10" t="str">
            <v>СТУЛЬЯ</v>
          </cell>
          <cell r="D10" t="str">
            <v>CHAIRS</v>
          </cell>
          <cell r="E10">
            <v>24</v>
          </cell>
          <cell r="F10">
            <v>12</v>
          </cell>
          <cell r="G10">
            <v>235.4</v>
          </cell>
          <cell r="H10">
            <v>215</v>
          </cell>
          <cell r="I10" t="str">
            <v>9401 61 0000</v>
          </cell>
          <cell r="J10">
            <v>312</v>
          </cell>
        </row>
        <row r="11">
          <cell r="A11" t="str">
            <v>VICENTE ZARAGOZA</v>
          </cell>
          <cell r="B11" t="str">
            <v>SPAIN</v>
          </cell>
          <cell r="C11" t="str">
            <v>КРЕСЛА</v>
          </cell>
          <cell r="D11" t="str">
            <v>ARMCHAIRS</v>
          </cell>
          <cell r="E11">
            <v>1</v>
          </cell>
          <cell r="F11">
            <v>1</v>
          </cell>
          <cell r="G11">
            <v>13.8</v>
          </cell>
          <cell r="H11">
            <v>13</v>
          </cell>
          <cell r="I11" t="str">
            <v>9401 61 0000</v>
          </cell>
          <cell r="J11">
            <v>18</v>
          </cell>
        </row>
        <row r="12">
          <cell r="A12" t="str">
            <v>VICENTE ZARAGOZA</v>
          </cell>
          <cell r="B12" t="str">
            <v>SPAIN</v>
          </cell>
          <cell r="C12" t="str">
            <v>КРЕСЛА</v>
          </cell>
          <cell r="D12" t="str">
            <v>ARMCHAIRS</v>
          </cell>
          <cell r="E12">
            <v>2</v>
          </cell>
          <cell r="F12">
            <v>2</v>
          </cell>
          <cell r="G12">
            <v>82.2</v>
          </cell>
          <cell r="H12">
            <v>75</v>
          </cell>
          <cell r="I12" t="str">
            <v>9401 61 0000</v>
          </cell>
          <cell r="J12">
            <v>108</v>
          </cell>
        </row>
        <row r="13">
          <cell r="A13" t="str">
            <v>VICENTE ZARAGOZA</v>
          </cell>
          <cell r="B13" t="str">
            <v>SPAIN</v>
          </cell>
          <cell r="C13" t="str">
            <v>ДИВАН</v>
          </cell>
          <cell r="D13" t="str">
            <v>DIVAN</v>
          </cell>
          <cell r="E13">
            <v>1</v>
          </cell>
          <cell r="F13">
            <v>1</v>
          </cell>
          <cell r="G13">
            <v>58.2</v>
          </cell>
          <cell r="H13">
            <v>54</v>
          </cell>
          <cell r="I13" t="str">
            <v>9401 61 0000</v>
          </cell>
          <cell r="J13">
            <v>76</v>
          </cell>
        </row>
        <row r="16">
          <cell r="A16" t="str">
            <v>BERLONI</v>
          </cell>
          <cell r="B16" t="str">
            <v>ITALY</v>
          </cell>
          <cell r="C16" t="str">
            <v>СТУЛЬЯ</v>
          </cell>
          <cell r="D16" t="str">
            <v>CHAIRS</v>
          </cell>
          <cell r="E16">
            <v>23</v>
          </cell>
          <cell r="F16">
            <v>13</v>
          </cell>
          <cell r="G16">
            <v>160</v>
          </cell>
          <cell r="H16">
            <v>146</v>
          </cell>
          <cell r="I16" t="str">
            <v>9401 69 0000</v>
          </cell>
          <cell r="J16">
            <v>230</v>
          </cell>
        </row>
        <row r="18">
          <cell r="A18" t="str">
            <v>BERLONI</v>
          </cell>
          <cell r="B18" t="str">
            <v>ITALY</v>
          </cell>
          <cell r="C18" t="str">
            <v>СТУЛЬЯ МЕТАЛЛИЧЕСКИЕ С ПЛАСТИКОВЫМ СИДЕНИЕМ</v>
          </cell>
          <cell r="D18" t="str">
            <v>CHAIRS</v>
          </cell>
          <cell r="E18">
            <v>4</v>
          </cell>
          <cell r="F18">
            <v>1</v>
          </cell>
          <cell r="G18">
            <v>24.8</v>
          </cell>
          <cell r="H18">
            <v>23</v>
          </cell>
          <cell r="I18" t="str">
            <v>9401 79 0000</v>
          </cell>
          <cell r="J18">
            <v>36</v>
          </cell>
        </row>
        <row r="20">
          <cell r="A20" t="str">
            <v>BERLONI</v>
          </cell>
          <cell r="B20" t="str">
            <v>ITALY</v>
          </cell>
          <cell r="C20" t="str">
            <v>НАБОРЫ МЕБЕЛИ ДЛЯ КУХНИ: ТУМБЫ, ПОЛКИ (с подсветкой), ШКАФЫ (колонки), СТОЛЕШНИЦЫ</v>
          </cell>
          <cell r="D20" t="str">
            <v>SETS FURNITURE FOR KITCHEN: BASES, SHELVES W/LIGHT, WARDROBES, TOPS</v>
          </cell>
          <cell r="E20">
            <v>12</v>
          </cell>
          <cell r="F20">
            <v>361</v>
          </cell>
          <cell r="G20">
            <v>6301.2</v>
          </cell>
          <cell r="H20">
            <v>5750</v>
          </cell>
          <cell r="I20" t="str">
            <v>9403 40 1000</v>
          </cell>
          <cell r="J20">
            <v>8196</v>
          </cell>
        </row>
        <row r="22">
          <cell r="A22" t="str">
            <v>BERLONI</v>
          </cell>
          <cell r="B22" t="str">
            <v>ITALY</v>
          </cell>
          <cell r="C22" t="str">
            <v>НАБОР МЕБЕЛИ ДЛЯ СПАЛЬНИ (детская комната): ШКАФ И ДВУХЯРУСНАЯ КРОВАТЬ</v>
          </cell>
          <cell r="D22" t="str">
            <v>SET FURNITURE FOR BEDROOM: WARDROBE AND DOUBLE-LEVEL BED</v>
          </cell>
          <cell r="E22">
            <v>1</v>
          </cell>
          <cell r="F22">
            <v>20</v>
          </cell>
          <cell r="G22">
            <v>344.2</v>
          </cell>
          <cell r="H22">
            <v>315</v>
          </cell>
          <cell r="I22" t="str">
            <v>9403 50 0000</v>
          </cell>
          <cell r="J22">
            <v>448</v>
          </cell>
        </row>
        <row r="23">
          <cell r="A23" t="str">
            <v>VICENTE ZARAGOZA</v>
          </cell>
          <cell r="B23" t="str">
            <v>SPAIN</v>
          </cell>
          <cell r="C23" t="str">
            <v>КОМОД</v>
          </cell>
          <cell r="D23" t="str">
            <v>CHEST OF DRAWERS</v>
          </cell>
          <cell r="E23">
            <v>1</v>
          </cell>
          <cell r="F23">
            <v>1</v>
          </cell>
          <cell r="G23">
            <v>69</v>
          </cell>
          <cell r="H23">
            <v>63</v>
          </cell>
          <cell r="I23" t="str">
            <v>9403 50 0000</v>
          </cell>
          <cell r="J23">
            <v>90</v>
          </cell>
        </row>
        <row r="27">
          <cell r="A27" t="str">
            <v>BERLONI</v>
          </cell>
          <cell r="B27" t="str">
            <v>ITALY</v>
          </cell>
          <cell r="C27" t="str">
            <v>СТОЛЫ</v>
          </cell>
          <cell r="D27" t="str">
            <v>TABLES</v>
          </cell>
          <cell r="E27">
            <v>4</v>
          </cell>
          <cell r="F27">
            <v>9</v>
          </cell>
          <cell r="G27">
            <v>255.5</v>
          </cell>
          <cell r="H27">
            <v>234</v>
          </cell>
          <cell r="I27" t="str">
            <v>9403 60 1000</v>
          </cell>
          <cell r="J27">
            <v>336</v>
          </cell>
        </row>
        <row r="28">
          <cell r="A28" t="str">
            <v>VICENTE ZARAGOZA</v>
          </cell>
          <cell r="B28" t="str">
            <v>SPAIN</v>
          </cell>
          <cell r="C28" t="str">
            <v>СТОЛЫ</v>
          </cell>
          <cell r="D28" t="str">
            <v>TABLES</v>
          </cell>
          <cell r="E28">
            <v>9</v>
          </cell>
          <cell r="F28">
            <v>21</v>
          </cell>
          <cell r="G28">
            <v>618</v>
          </cell>
          <cell r="H28">
            <v>564</v>
          </cell>
          <cell r="I28" t="str">
            <v>9403 60 1000</v>
          </cell>
          <cell r="J28">
            <v>810</v>
          </cell>
        </row>
        <row r="29">
          <cell r="A29" t="str">
            <v>VICENTE ZARAGOZA</v>
          </cell>
          <cell r="B29" t="str">
            <v>SPAIN</v>
          </cell>
          <cell r="C29" t="str">
            <v>СЕРВАНТЫ</v>
          </cell>
          <cell r="D29" t="str">
            <v>SIDEBOARDS</v>
          </cell>
          <cell r="E29">
            <v>6</v>
          </cell>
          <cell r="F29">
            <v>46</v>
          </cell>
          <cell r="G29">
            <v>909.7</v>
          </cell>
          <cell r="H29">
            <v>831</v>
          </cell>
          <cell r="I29" t="str">
            <v>9403 60 1000</v>
          </cell>
          <cell r="J29">
            <v>1188</v>
          </cell>
        </row>
        <row r="30">
          <cell r="A30" t="str">
            <v>VICENTE ZARAGOZA</v>
          </cell>
          <cell r="B30" t="str">
            <v>SPAIN</v>
          </cell>
          <cell r="C30" t="str">
            <v>ВИТРИНЫ</v>
          </cell>
          <cell r="D30" t="str">
            <v>GLASSCASES</v>
          </cell>
          <cell r="E30">
            <v>7</v>
          </cell>
          <cell r="F30">
            <v>36</v>
          </cell>
          <cell r="G30">
            <v>1011.6</v>
          </cell>
          <cell r="H30">
            <v>923</v>
          </cell>
          <cell r="I30" t="str">
            <v>9403 60 1000</v>
          </cell>
          <cell r="J30">
            <v>1316</v>
          </cell>
        </row>
        <row r="31">
          <cell r="A31" t="str">
            <v>VICENTE ZARAGOZA</v>
          </cell>
          <cell r="B31" t="str">
            <v>SPAIN</v>
          </cell>
          <cell r="C31" t="str">
            <v>ТУАЛЕТНЫЙ СТОЛИК</v>
          </cell>
          <cell r="D31" t="str">
            <v>DRESSING TABLE</v>
          </cell>
          <cell r="E31">
            <v>1</v>
          </cell>
          <cell r="F31">
            <v>1</v>
          </cell>
          <cell r="G31">
            <v>97.6</v>
          </cell>
          <cell r="H31">
            <v>90</v>
          </cell>
          <cell r="I31" t="str">
            <v>9403 60 1000</v>
          </cell>
          <cell r="J31">
            <v>127</v>
          </cell>
        </row>
        <row r="34">
          <cell r="A34" t="str">
            <v>VICENTE ZARAGOZA</v>
          </cell>
          <cell r="B34" t="str">
            <v>SPAIN</v>
          </cell>
          <cell r="C34" t="str">
            <v>ПОДСТАВКА ДЛЯ ЦВЕТОВ</v>
          </cell>
          <cell r="D34" t="str">
            <v>STAND FOR FLOWERS</v>
          </cell>
          <cell r="E34">
            <v>1</v>
          </cell>
          <cell r="F34">
            <v>2</v>
          </cell>
          <cell r="G34">
            <v>24.6</v>
          </cell>
          <cell r="H34">
            <v>23</v>
          </cell>
          <cell r="I34" t="str">
            <v>9403 60 9000</v>
          </cell>
          <cell r="J34">
            <v>32</v>
          </cell>
        </row>
        <row r="36">
          <cell r="A36" t="str">
            <v>VICENTE ZARAGOZA</v>
          </cell>
          <cell r="B36" t="str">
            <v>SPAIN</v>
          </cell>
          <cell r="C36" t="str">
            <v>ДВЕРИ ДЛЯ ШКАФОВ</v>
          </cell>
          <cell r="D36" t="str">
            <v>PARTS (DOORS FOR WARDROBES)</v>
          </cell>
          <cell r="E36">
            <v>20</v>
          </cell>
          <cell r="F36">
            <v>5</v>
          </cell>
          <cell r="G36">
            <v>210.6</v>
          </cell>
          <cell r="H36">
            <v>193</v>
          </cell>
          <cell r="I36" t="str">
            <v>9403 90 3000</v>
          </cell>
          <cell r="J36">
            <v>280</v>
          </cell>
        </row>
        <row r="37">
          <cell r="A37" t="str">
            <v>VICENTE ZARAGOZA</v>
          </cell>
          <cell r="B37" t="str">
            <v>SPAIN</v>
          </cell>
          <cell r="C37" t="str">
            <v>ЗАДНИЕ ПАНЕЛИ ДЛЯ ШКАФОВ</v>
          </cell>
          <cell r="D37" t="str">
            <v>PARTS (BACK PANELS FOR WARDROBES)</v>
          </cell>
          <cell r="E37">
            <v>3</v>
          </cell>
          <cell r="F37">
            <v>3</v>
          </cell>
          <cell r="G37">
            <v>58.6</v>
          </cell>
          <cell r="H37">
            <v>54</v>
          </cell>
          <cell r="I37" t="str">
            <v>9403 90 3000</v>
          </cell>
          <cell r="J37">
            <v>78</v>
          </cell>
        </row>
      </sheetData>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tabColor indexed="10"/>
    <pageSetUpPr fitToPage="1"/>
  </sheetPr>
  <dimension ref="A1:N92"/>
  <sheetViews>
    <sheetView tabSelected="1" view="pageBreakPreview" zoomScale="60" zoomScaleNormal="50" workbookViewId="0">
      <selection activeCell="A12" sqref="A12"/>
    </sheetView>
  </sheetViews>
  <sheetFormatPr defaultColWidth="9.140625" defaultRowHeight="14.25"/>
  <cols>
    <col min="1" max="1" width="81.7109375" style="4" customWidth="1"/>
    <col min="2" max="2" width="33.85546875" style="4" customWidth="1"/>
    <col min="3" max="3" width="22" style="21" customWidth="1"/>
    <col min="4" max="4" width="1.28515625" style="4" customWidth="1"/>
    <col min="5" max="5" width="16.85546875" style="13" customWidth="1"/>
    <col min="6" max="6" width="48" style="13" customWidth="1"/>
    <col min="7" max="7" width="18.7109375" style="4" hidden="1" customWidth="1"/>
    <col min="8" max="8" width="12.85546875" style="4" customWidth="1"/>
    <col min="9" max="9" width="14.7109375" style="4" customWidth="1"/>
    <col min="10" max="10" width="10.28515625" style="4" customWidth="1"/>
    <col min="11" max="11" width="13.7109375" style="4" customWidth="1"/>
    <col min="12" max="12" width="19.140625" style="8" customWidth="1"/>
    <col min="13" max="16384" width="9.140625" style="4"/>
  </cols>
  <sheetData>
    <row r="1" spans="1:14" s="2" customFormat="1" ht="29.25">
      <c r="A1" s="1" t="str">
        <f>'[1]all data'!B2</f>
        <v>XUZHOU DOUBLE RINGS MACHINERY CO., LTD.</v>
      </c>
      <c r="B1" s="1"/>
      <c r="C1" s="1"/>
      <c r="D1" s="1"/>
      <c r="E1" s="1"/>
      <c r="F1" s="1"/>
      <c r="G1" s="1"/>
      <c r="H1" s="1"/>
      <c r="I1" s="1"/>
      <c r="J1" s="1"/>
      <c r="K1" s="1"/>
      <c r="L1" s="1"/>
    </row>
    <row r="2" spans="1:14" ht="15">
      <c r="A2" s="3" t="str">
        <f>'[1]all data'!B3</f>
        <v>28 BEIJING  ROAD TONGSHAN NEW DISTRICT XUZHOU JIANGSU CHINA</v>
      </c>
      <c r="B2" s="3"/>
      <c r="C2" s="3"/>
      <c r="D2" s="3"/>
      <c r="E2" s="3"/>
      <c r="F2" s="3"/>
      <c r="G2" s="3"/>
      <c r="H2" s="3"/>
      <c r="I2" s="3"/>
      <c r="J2" s="3"/>
      <c r="K2" s="3"/>
      <c r="L2" s="3"/>
    </row>
    <row r="3" spans="1:14" ht="15">
      <c r="B3" s="5"/>
      <c r="C3" s="6"/>
      <c r="D3" s="7"/>
      <c r="E3" s="7"/>
      <c r="F3" s="5"/>
      <c r="G3" s="7"/>
      <c r="H3" s="7"/>
      <c r="I3" s="7"/>
      <c r="J3" s="7"/>
      <c r="K3" s="7"/>
    </row>
    <row r="4" spans="1:14" s="2" customFormat="1" ht="18">
      <c r="C4" s="9" t="str">
        <f>'[1]all data'!A18</f>
        <v>Specification #:/ Номер Спецификации:</v>
      </c>
      <c r="D4" s="10"/>
      <c r="E4" s="11" t="str">
        <f>'[1]all data'!B18</f>
        <v>17/08-01</v>
      </c>
      <c r="F4" s="5"/>
      <c r="G4" s="10"/>
      <c r="H4" s="10"/>
      <c r="I4" s="10"/>
      <c r="J4" s="10"/>
      <c r="K4" s="10"/>
      <c r="L4" s="8"/>
    </row>
    <row r="5" spans="1:14" ht="15">
      <c r="C5" s="9" t="s">
        <v>0</v>
      </c>
      <c r="E5" s="12">
        <f>'[1]all data'!B17</f>
        <v>43329</v>
      </c>
      <c r="F5" s="12"/>
      <c r="G5" s="13"/>
      <c r="H5" s="13"/>
      <c r="I5" s="13"/>
      <c r="J5" s="13"/>
      <c r="K5" s="13"/>
      <c r="L5" s="14"/>
    </row>
    <row r="6" spans="1:14" s="2" customFormat="1">
      <c r="A6" s="7" t="s">
        <v>1</v>
      </c>
      <c r="B6" s="13"/>
      <c r="C6" s="13"/>
      <c r="D6" s="15"/>
      <c r="E6" s="15"/>
      <c r="F6" s="16" t="s">
        <v>2</v>
      </c>
      <c r="G6" s="17"/>
      <c r="H6" s="17"/>
      <c r="I6" s="16"/>
      <c r="J6" s="16"/>
      <c r="K6" s="16"/>
      <c r="L6" s="16"/>
    </row>
    <row r="7" spans="1:14" ht="17.25" customHeight="1">
      <c r="A7" s="18" t="str">
        <f>'[1]all data'!B10</f>
        <v xml:space="preserve">LLC “RESPECT” 
</v>
      </c>
      <c r="B7" s="13"/>
      <c r="C7" s="13"/>
      <c r="D7" s="19"/>
      <c r="E7" s="19"/>
      <c r="F7" s="19" t="str">
        <f>'[1]all data'!C10</f>
        <v>ООО  «РЕСПЕКТ»</v>
      </c>
      <c r="G7" s="19"/>
      <c r="H7" s="19"/>
      <c r="I7" s="20"/>
      <c r="J7" s="20"/>
      <c r="K7" s="20"/>
      <c r="L7" s="20"/>
    </row>
    <row r="8" spans="1:14" ht="17.25" customHeight="1">
      <c r="A8" s="18" t="str">
        <f>'[1]all data'!B12</f>
        <v>141402, Moscow region, city Khimki, Leningradskaya str., 1 b.D, of.304</v>
      </c>
      <c r="B8" s="13"/>
      <c r="C8" s="13"/>
      <c r="D8" s="19"/>
      <c r="E8" s="19"/>
      <c r="F8" s="19" t="str">
        <f>'[1]all data'!C12</f>
        <v>141402, Россия, МО, г. Химки, Ленинградская ул., д.1, корп. Д, оф.304</v>
      </c>
      <c r="G8" s="19"/>
      <c r="H8" s="19"/>
      <c r="I8" s="20"/>
      <c r="J8" s="20"/>
      <c r="K8" s="20"/>
      <c r="L8" s="20"/>
    </row>
    <row r="9" spans="1:14" ht="17.25" customHeight="1">
      <c r="A9" s="18" t="str">
        <f>'[1]all data'!B11</f>
        <v xml:space="preserve">INN 7713744460 / KPP 500801001 </v>
      </c>
      <c r="F9" s="13" t="str">
        <f>'[1]all data'!C11</f>
        <v xml:space="preserve">ИНН   7713744460, КПП     500801001 
</v>
      </c>
    </row>
    <row r="10" spans="1:14">
      <c r="C10" s="22"/>
      <c r="D10" s="23"/>
      <c r="E10" s="24"/>
    </row>
    <row r="11" spans="1:14" s="29" customFormat="1" ht="61.5" customHeight="1">
      <c r="A11" s="25" t="str">
        <f>'[1]all data'!A38</f>
        <v>Description:/Описание:</v>
      </c>
      <c r="B11" s="25" t="str">
        <f>'[1]all data'!B38</f>
        <v>Cat,#/ Артикул</v>
      </c>
      <c r="C11" s="25" t="str">
        <f>'[1]all data'!M38</f>
        <v xml:space="preserve">Product code / Код товара </v>
      </c>
      <c r="D11" s="25"/>
      <c r="E11" s="25" t="str">
        <f>'[1]all data'!I38</f>
        <v>Q-ty packages / Кол-во мест</v>
      </c>
      <c r="F11" s="26" t="str">
        <f>'[1]all data'!D38</f>
        <v>Manufactor/ Производитель</v>
      </c>
      <c r="G11" s="25" t="str">
        <f>'[1]all data'!P38</f>
        <v>BRAND/Торговая марка</v>
      </c>
      <c r="H11" s="25" t="str">
        <f>'[1]all data'!E38</f>
        <v>Q-ty items / Кол-во штук</v>
      </c>
      <c r="I11" s="25" t="str">
        <f>'[1]all data'!G38</f>
        <v>Price, USD/ Цена за ед. Долл США</v>
      </c>
      <c r="J11" s="27" t="str">
        <f>'[1]all data'!F38</f>
        <v>Unit/ед. измерения</v>
      </c>
      <c r="K11" s="27"/>
      <c r="L11" s="28" t="str">
        <f>'[1]all data'!H38</f>
        <v>Amount,  USD / Стоимость, долл США</v>
      </c>
    </row>
    <row r="12" spans="1:14" ht="45" customHeight="1">
      <c r="A12" s="30" t="str">
        <f>'[1]all data'!A39</f>
        <v>Accessories (Stone flowers)/Аксессуары (цветы из камня)</v>
      </c>
      <c r="B12" s="31" t="str">
        <f>'[1]all data'!B39</f>
        <v>F02PECAH</v>
      </c>
      <c r="C12" s="31">
        <f>'[1]all data'!M39</f>
        <v>6802999000</v>
      </c>
      <c r="D12" s="32"/>
      <c r="E12" s="33">
        <f>'[1]all data'!I39</f>
        <v>1</v>
      </c>
      <c r="F12" s="34" t="str">
        <f>'[1]all data'!D39</f>
        <v>GUANGDONG SILIQUE INTERNATIONAL  GROUP  MAUFAR CO.,LTD</v>
      </c>
      <c r="G12" s="35"/>
      <c r="H12" s="36">
        <f>'[1]all data'!E39</f>
        <v>25</v>
      </c>
      <c r="I12" s="37">
        <f>'[1]all data'!G39</f>
        <v>0.23</v>
      </c>
      <c r="J12" s="38">
        <f>'[1]all data'!F39</f>
        <v>1</v>
      </c>
      <c r="K12" s="39" t="str">
        <f>'[1]all data'!C39</f>
        <v>pcs/шт</v>
      </c>
      <c r="L12" s="40">
        <f>'[1]all data'!H39</f>
        <v>5.75</v>
      </c>
      <c r="N12" s="41"/>
    </row>
    <row r="13" spans="1:14" ht="45" customHeight="1">
      <c r="A13" s="30" t="str">
        <f>'[1]all data'!A40</f>
        <v>Accessories (Stone flowers)/Аксессуары (цветы из камня)</v>
      </c>
      <c r="B13" s="31" t="str">
        <f>'[1]all data'!B40</f>
        <v>F111-6RDFLOWER</v>
      </c>
      <c r="C13" s="31">
        <f>'[1]all data'!M40</f>
        <v>6802999000</v>
      </c>
      <c r="D13" s="32"/>
      <c r="E13" s="33">
        <f>'[1]all data'!I40</f>
        <v>1</v>
      </c>
      <c r="F13" s="34" t="str">
        <f>'[1]all data'!D40</f>
        <v>GUANGDONG SILIQUE INTERNATIONAL  GROUP  MAUFAR CO.,LTD</v>
      </c>
      <c r="G13" s="35"/>
      <c r="H13" s="36">
        <f>'[1]all data'!E40</f>
        <v>60</v>
      </c>
      <c r="I13" s="37">
        <f>'[1]all data'!G40</f>
        <v>7.0000000000000007E-2</v>
      </c>
      <c r="J13" s="38">
        <f>'[1]all data'!F40</f>
        <v>1</v>
      </c>
      <c r="K13" s="39" t="str">
        <f>'[1]all data'!C40</f>
        <v>pcs/шт</v>
      </c>
      <c r="L13" s="40">
        <f>'[1]all data'!H40</f>
        <v>4.2</v>
      </c>
      <c r="N13" s="41"/>
    </row>
    <row r="14" spans="1:14" ht="45" customHeight="1">
      <c r="A14" s="30" t="str">
        <f>'[1]all data'!A41</f>
        <v>Accessories (Stone flowers)/Аксессуары (цветы из камня)</v>
      </c>
      <c r="B14" s="31" t="str">
        <f>'[1]all data'!B41</f>
        <v>F111-6WE（FLOWER）</v>
      </c>
      <c r="C14" s="31">
        <f>'[1]all data'!M41</f>
        <v>6802999000</v>
      </c>
      <c r="D14" s="32"/>
      <c r="E14" s="33" t="str">
        <f>'[1]all data'!I41</f>
        <v>part</v>
      </c>
      <c r="F14" s="34" t="str">
        <f>'[1]all data'!D41</f>
        <v>GUANGDONG SILIQUE INTERNATIONAL  GROUP  MAUFAR CO.,LTD</v>
      </c>
      <c r="G14" s="35"/>
      <c r="H14" s="36">
        <f>'[1]all data'!E41</f>
        <v>20</v>
      </c>
      <c r="I14" s="37">
        <f>'[1]all data'!G41</f>
        <v>7.0000000000000007E-2</v>
      </c>
      <c r="J14" s="38">
        <f>'[1]all data'!F41</f>
        <v>1</v>
      </c>
      <c r="K14" s="39" t="str">
        <f>'[1]all data'!C41</f>
        <v>pcs/шт</v>
      </c>
      <c r="L14" s="40">
        <f>'[1]all data'!H41</f>
        <v>1.4000000000000001</v>
      </c>
      <c r="N14" s="41"/>
    </row>
    <row r="15" spans="1:14" ht="45" customHeight="1">
      <c r="A15" s="30" t="str">
        <f>'[1]all data'!A42</f>
        <v>Accessories (Stone flowers)/Аксессуары (цветы из камня)</v>
      </c>
      <c r="B15" s="31" t="str">
        <f>'[1]all data'!B42</f>
        <v>F123-2GRAPE</v>
      </c>
      <c r="C15" s="31">
        <f>'[1]all data'!M42</f>
        <v>6802999000</v>
      </c>
      <c r="D15" s="32"/>
      <c r="E15" s="33">
        <f>'[1]all data'!I42</f>
        <v>1</v>
      </c>
      <c r="F15" s="34" t="str">
        <f>'[1]all data'!D42</f>
        <v>GUANGDONG SILIQUE INTERNATIONAL  GROUP  MAUFAR CO.,LTD</v>
      </c>
      <c r="G15" s="35"/>
      <c r="H15" s="36">
        <f>'[1]all data'!E42</f>
        <v>25</v>
      </c>
      <c r="I15" s="37">
        <f>'[1]all data'!G42</f>
        <v>0.54</v>
      </c>
      <c r="J15" s="38">
        <f>'[1]all data'!F42</f>
        <v>1</v>
      </c>
      <c r="K15" s="39" t="str">
        <f>'[1]all data'!C42</f>
        <v>pcs/шт</v>
      </c>
      <c r="L15" s="40">
        <f>'[1]all data'!H42</f>
        <v>13.5</v>
      </c>
      <c r="N15" s="41"/>
    </row>
    <row r="16" spans="1:14" ht="45" customHeight="1">
      <c r="A16" s="30" t="str">
        <f>'[1]all data'!A43</f>
        <v>Accessories (Stone flowers)/Аксессуары (цветы из камня)</v>
      </c>
      <c r="B16" s="31" t="str">
        <f>'[1]all data'!B43</f>
        <v>F264FLOWER</v>
      </c>
      <c r="C16" s="31">
        <f>'[1]all data'!M43</f>
        <v>6802999000</v>
      </c>
      <c r="D16" s="32"/>
      <c r="E16" s="33">
        <f>'[1]all data'!I43</f>
        <v>1</v>
      </c>
      <c r="F16" s="34" t="str">
        <f>'[1]all data'!D43</f>
        <v>GUANGDONG SILIQUE INTERNATIONAL  GROUP  MAUFAR CO.,LTD</v>
      </c>
      <c r="G16" s="35"/>
      <c r="H16" s="36">
        <f>'[1]all data'!E43</f>
        <v>4</v>
      </c>
      <c r="I16" s="37">
        <f>'[1]all data'!G43</f>
        <v>2.8</v>
      </c>
      <c r="J16" s="38">
        <f>'[1]all data'!F43</f>
        <v>1</v>
      </c>
      <c r="K16" s="39" t="str">
        <f>'[1]all data'!C43</f>
        <v>pcs/шт</v>
      </c>
      <c r="L16" s="40">
        <f>'[1]all data'!H43</f>
        <v>11.2</v>
      </c>
      <c r="N16" s="41"/>
    </row>
    <row r="17" spans="1:14" ht="45" customHeight="1">
      <c r="A17" s="30" t="str">
        <f>'[1]all data'!A44</f>
        <v>Accessories (Stone flowers)/Аксессуары (цветы из камня)</v>
      </c>
      <c r="B17" s="31" t="str">
        <f>'[1]all data'!B44</f>
        <v>F417FLOWER</v>
      </c>
      <c r="C17" s="31">
        <f>'[1]all data'!M44</f>
        <v>6802999000</v>
      </c>
      <c r="D17" s="32"/>
      <c r="E17" s="33">
        <f>'[1]all data'!I44</f>
        <v>1</v>
      </c>
      <c r="F17" s="34" t="str">
        <f>'[1]all data'!D44</f>
        <v>GUANGDONG SILIQUE INTERNATIONAL  GROUP  MAUFAR CO.,LTD</v>
      </c>
      <c r="G17" s="35"/>
      <c r="H17" s="36">
        <f>'[1]all data'!E44</f>
        <v>25</v>
      </c>
      <c r="I17" s="37">
        <f>'[1]all data'!G44</f>
        <v>0.62</v>
      </c>
      <c r="J17" s="38">
        <f>'[1]all data'!F44</f>
        <v>1</v>
      </c>
      <c r="K17" s="39" t="str">
        <f>'[1]all data'!C44</f>
        <v>pcs/шт</v>
      </c>
      <c r="L17" s="40">
        <f>'[1]all data'!H44</f>
        <v>15.5</v>
      </c>
      <c r="N17" s="41"/>
    </row>
    <row r="18" spans="1:14" ht="45" customHeight="1">
      <c r="A18" s="30" t="str">
        <f>'[1]all data'!A45</f>
        <v>Accessories (Stone flowers)/Аксессуары (цветы из камня)</v>
      </c>
      <c r="B18" s="31" t="str">
        <f>'[1]all data'!B45</f>
        <v>F430FLOWER</v>
      </c>
      <c r="C18" s="31">
        <f>'[1]all data'!M45</f>
        <v>6802999000</v>
      </c>
      <c r="D18" s="32"/>
      <c r="E18" s="33">
        <f>'[1]all data'!I45</f>
        <v>1</v>
      </c>
      <c r="F18" s="34" t="str">
        <f>'[1]all data'!D45</f>
        <v>GUANGDONG SILIQUE INTERNATIONAL  GROUP  MAUFAR CO.,LTD</v>
      </c>
      <c r="G18" s="35"/>
      <c r="H18" s="36">
        <f>'[1]all data'!E45</f>
        <v>30</v>
      </c>
      <c r="I18" s="37">
        <f>'[1]all data'!G45</f>
        <v>0.14000000000000001</v>
      </c>
      <c r="J18" s="38">
        <f>'[1]all data'!F45</f>
        <v>1</v>
      </c>
      <c r="K18" s="39" t="str">
        <f>'[1]all data'!C45</f>
        <v>pcs/шт</v>
      </c>
      <c r="L18" s="40">
        <f>'[1]all data'!H45</f>
        <v>4.2</v>
      </c>
      <c r="N18" s="41"/>
    </row>
    <row r="19" spans="1:14" ht="45" customHeight="1">
      <c r="A19" s="30" t="str">
        <f>'[1]all data'!A46</f>
        <v>Accessories (Stone flowers)/Аксессуары (цветы из камня)</v>
      </c>
      <c r="B19" s="31" t="str">
        <f>'[1]all data'!B46</f>
        <v>F431-1FLOWER</v>
      </c>
      <c r="C19" s="31">
        <f>'[1]all data'!M46</f>
        <v>6802999000</v>
      </c>
      <c r="D19" s="32"/>
      <c r="E19" s="33" t="str">
        <f>'[1]all data'!I46</f>
        <v>part</v>
      </c>
      <c r="F19" s="34" t="str">
        <f>'[1]all data'!D46</f>
        <v>GUANGDONG SILIQUE INTERNATIONAL  GROUP  MAUFAR CO.,LTD</v>
      </c>
      <c r="G19" s="35"/>
      <c r="H19" s="36">
        <f>'[1]all data'!E46</f>
        <v>30</v>
      </c>
      <c r="I19" s="37">
        <f>'[1]all data'!G46</f>
        <v>0.14000000000000001</v>
      </c>
      <c r="J19" s="38">
        <f>'[1]all data'!F46</f>
        <v>1</v>
      </c>
      <c r="K19" s="39" t="str">
        <f>'[1]all data'!C46</f>
        <v>pcs/шт</v>
      </c>
      <c r="L19" s="40">
        <f>'[1]all data'!H46</f>
        <v>4.2</v>
      </c>
      <c r="N19" s="41"/>
    </row>
    <row r="20" spans="1:14" ht="45" customHeight="1">
      <c r="A20" s="30" t="str">
        <f>'[1]all data'!A47</f>
        <v>Accessories (Stone flowers)/Аксессуары (цветы из камня)</v>
      </c>
      <c r="B20" s="31" t="str">
        <f>'[1]all data'!B47</f>
        <v>F432FLOWER</v>
      </c>
      <c r="C20" s="31">
        <f>'[1]all data'!M47</f>
        <v>6802999000</v>
      </c>
      <c r="D20" s="32"/>
      <c r="E20" s="33">
        <f>'[1]all data'!I47</f>
        <v>1</v>
      </c>
      <c r="F20" s="34" t="str">
        <f>'[1]all data'!D47</f>
        <v>GUANGDONG SILIQUE INTERNATIONAL  GROUP  MAUFAR CO.,LTD</v>
      </c>
      <c r="G20" s="35"/>
      <c r="H20" s="36">
        <f>'[1]all data'!E47</f>
        <v>100</v>
      </c>
      <c r="I20" s="37">
        <f>'[1]all data'!G47</f>
        <v>0.09</v>
      </c>
      <c r="J20" s="38">
        <f>'[1]all data'!F47</f>
        <v>1</v>
      </c>
      <c r="K20" s="39" t="str">
        <f>'[1]all data'!C47</f>
        <v>pcs/шт</v>
      </c>
      <c r="L20" s="40">
        <f>'[1]all data'!H47</f>
        <v>9</v>
      </c>
      <c r="N20" s="41"/>
    </row>
    <row r="21" spans="1:14" ht="45" customHeight="1">
      <c r="A21" s="30" t="str">
        <f>'[1]all data'!A48</f>
        <v>Accessories (Stone flowers)/Аксессуары (цветы из камня)</v>
      </c>
      <c r="B21" s="31" t="str">
        <f>'[1]all data'!B48</f>
        <v>F465ORANGE</v>
      </c>
      <c r="C21" s="31">
        <f>'[1]all data'!M48</f>
        <v>6802999000</v>
      </c>
      <c r="D21" s="32"/>
      <c r="E21" s="33">
        <f>'[1]all data'!I48</f>
        <v>3</v>
      </c>
      <c r="F21" s="34" t="str">
        <f>'[1]all data'!D48</f>
        <v>GUANGDONG SILIQUE INTERNATIONAL  GROUP  MAUFAR CO.,LTD</v>
      </c>
      <c r="G21" s="35"/>
      <c r="H21" s="36">
        <f>'[1]all data'!E48</f>
        <v>75</v>
      </c>
      <c r="I21" s="37">
        <f>'[1]all data'!G48</f>
        <v>0.5</v>
      </c>
      <c r="J21" s="38">
        <f>'[1]all data'!F48</f>
        <v>1</v>
      </c>
      <c r="K21" s="39" t="str">
        <f>'[1]all data'!C48</f>
        <v>pcs/шт</v>
      </c>
      <c r="L21" s="40">
        <f>'[1]all data'!H48</f>
        <v>37.5</v>
      </c>
      <c r="N21" s="41"/>
    </row>
    <row r="22" spans="1:14" ht="45" customHeight="1">
      <c r="A22" s="30" t="str">
        <f>'[1]all data'!A49</f>
        <v>Accessories (Stone flowers)/Аксессуары (цветы из камня)</v>
      </c>
      <c r="B22" s="31" t="str">
        <f>'[1]all data'!B49</f>
        <v>F494-1FLOWER</v>
      </c>
      <c r="C22" s="31">
        <f>'[1]all data'!M49</f>
        <v>6802999000</v>
      </c>
      <c r="D22" s="32"/>
      <c r="E22" s="33">
        <f>'[1]all data'!I49</f>
        <v>2</v>
      </c>
      <c r="F22" s="34" t="str">
        <f>'[1]all data'!D49</f>
        <v>GUANGDONG SILIQUE INTERNATIONAL  GROUP  MAUFAR CO.,LTD</v>
      </c>
      <c r="G22" s="35"/>
      <c r="H22" s="36">
        <f>'[1]all data'!E49</f>
        <v>50</v>
      </c>
      <c r="I22" s="37">
        <f>'[1]all data'!G49</f>
        <v>0.34</v>
      </c>
      <c r="J22" s="38">
        <f>'[1]all data'!F49</f>
        <v>1</v>
      </c>
      <c r="K22" s="39" t="str">
        <f>'[1]all data'!C49</f>
        <v>pcs/шт</v>
      </c>
      <c r="L22" s="40">
        <f>'[1]all data'!H49</f>
        <v>17</v>
      </c>
      <c r="N22" s="41"/>
    </row>
    <row r="23" spans="1:14" ht="45" customHeight="1">
      <c r="A23" s="30" t="str">
        <f>'[1]all data'!A50</f>
        <v>Accessories (Stone flowers)/Аксессуары (цветы из камня)</v>
      </c>
      <c r="B23" s="31" t="str">
        <f>'[1]all data'!B50</f>
        <v>F512FLOWER</v>
      </c>
      <c r="C23" s="31">
        <f>'[1]all data'!M50</f>
        <v>6802999000</v>
      </c>
      <c r="D23" s="32"/>
      <c r="E23" s="33">
        <f>'[1]all data'!I50</f>
        <v>1</v>
      </c>
      <c r="F23" s="34" t="str">
        <f>'[1]all data'!D50</f>
        <v>GUANGDONG SILIQUE INTERNATIONAL  GROUP  MAUFAR CO.,LTD</v>
      </c>
      <c r="G23" s="35"/>
      <c r="H23" s="36">
        <f>'[1]all data'!E50</f>
        <v>12</v>
      </c>
      <c r="I23" s="37">
        <f>'[1]all data'!G50</f>
        <v>0.95</v>
      </c>
      <c r="J23" s="38">
        <f>'[1]all data'!F50</f>
        <v>1</v>
      </c>
      <c r="K23" s="39" t="str">
        <f>'[1]all data'!C50</f>
        <v>pcs/шт</v>
      </c>
      <c r="L23" s="40">
        <f>'[1]all data'!H50</f>
        <v>11.399999999999999</v>
      </c>
      <c r="N23" s="41"/>
    </row>
    <row r="24" spans="1:14" ht="45" customHeight="1">
      <c r="A24" s="30" t="str">
        <f>'[1]all data'!A51</f>
        <v>Accessories (Stone flowers)/Аксессуары (цветы из камня)</v>
      </c>
      <c r="B24" s="31" t="str">
        <f>'[1]all data'!B51</f>
        <v>F522ORANGE</v>
      </c>
      <c r="C24" s="31">
        <f>'[1]all data'!M51</f>
        <v>6802999000</v>
      </c>
      <c r="D24" s="32"/>
      <c r="E24" s="33">
        <f>'[1]all data'!I51</f>
        <v>5</v>
      </c>
      <c r="F24" s="34" t="str">
        <f>'[1]all data'!D51</f>
        <v>GUANGDONG SILIQUE INTERNATIONAL  GROUP  MAUFAR CO.,LTD</v>
      </c>
      <c r="G24" s="35"/>
      <c r="H24" s="36">
        <f>'[1]all data'!E51</f>
        <v>20</v>
      </c>
      <c r="I24" s="37">
        <f>'[1]all data'!G51</f>
        <v>4.38</v>
      </c>
      <c r="J24" s="38">
        <f>'[1]all data'!F51</f>
        <v>1</v>
      </c>
      <c r="K24" s="39" t="str">
        <f>'[1]all data'!C51</f>
        <v>pcs/шт</v>
      </c>
      <c r="L24" s="40">
        <f>'[1]all data'!H51</f>
        <v>87.6</v>
      </c>
      <c r="N24" s="41"/>
    </row>
    <row r="25" spans="1:14" ht="45" customHeight="1">
      <c r="A25" s="30" t="str">
        <f>'[1]all data'!A52</f>
        <v>Accessories (Stone flowers)/Аксессуары (цветы из камня)</v>
      </c>
      <c r="B25" s="31" t="str">
        <f>'[1]all data'!B52</f>
        <v>F523ORANGE</v>
      </c>
      <c r="C25" s="31">
        <f>'[1]all data'!M52</f>
        <v>6802999000</v>
      </c>
      <c r="D25" s="32"/>
      <c r="E25" s="33">
        <f>'[1]all data'!I52</f>
        <v>4</v>
      </c>
      <c r="F25" s="34" t="str">
        <f>'[1]all data'!D52</f>
        <v>GUANGDONG SILIQUE INTERNATIONAL  GROUP  MAUFAR CO.,LTD</v>
      </c>
      <c r="G25" s="35"/>
      <c r="H25" s="36">
        <f>'[1]all data'!E52</f>
        <v>16</v>
      </c>
      <c r="I25" s="37">
        <f>'[1]all data'!G52</f>
        <v>3.3299999999999996</v>
      </c>
      <c r="J25" s="38">
        <f>'[1]all data'!F52</f>
        <v>1</v>
      </c>
      <c r="K25" s="39" t="str">
        <f>'[1]all data'!C52</f>
        <v>pcs/шт</v>
      </c>
      <c r="L25" s="40">
        <f>'[1]all data'!H52</f>
        <v>53.279999999999994</v>
      </c>
      <c r="N25" s="41"/>
    </row>
    <row r="26" spans="1:14" ht="45" customHeight="1">
      <c r="A26" s="30" t="str">
        <f>'[1]all data'!A53</f>
        <v>Accessories (Stone flowers)/Аксессуары (цветы из камня)</v>
      </c>
      <c r="B26" s="31" t="str">
        <f>'[1]all data'!B53</f>
        <v>F524ORANGE</v>
      </c>
      <c r="C26" s="31">
        <f>'[1]all data'!M53</f>
        <v>6802999000</v>
      </c>
      <c r="D26" s="32"/>
      <c r="E26" s="33">
        <f>'[1]all data'!I53</f>
        <v>2</v>
      </c>
      <c r="F26" s="34" t="str">
        <f>'[1]all data'!D53</f>
        <v>GUANGDONG SILIQUE INTERNATIONAL  GROUP  MAUFAR CO.,LTD</v>
      </c>
      <c r="G26" s="35"/>
      <c r="H26" s="36">
        <f>'[1]all data'!E53</f>
        <v>50</v>
      </c>
      <c r="I26" s="37">
        <f>'[1]all data'!G53</f>
        <v>0.98</v>
      </c>
      <c r="J26" s="38">
        <f>'[1]all data'!F53</f>
        <v>1</v>
      </c>
      <c r="K26" s="39" t="str">
        <f>'[1]all data'!C53</f>
        <v>pcs/шт</v>
      </c>
      <c r="L26" s="40">
        <f>'[1]all data'!H53</f>
        <v>49</v>
      </c>
      <c r="N26" s="41"/>
    </row>
    <row r="27" spans="1:14" ht="45" customHeight="1">
      <c r="A27" s="30" t="str">
        <f>'[1]all data'!A54</f>
        <v>Accessories (Stone flowers)/Аксессуары (цветы из камня)</v>
      </c>
      <c r="B27" s="31" t="str">
        <f>'[1]all data'!B54</f>
        <v>F620-2FLOWER</v>
      </c>
      <c r="C27" s="31">
        <f>'[1]all data'!M54</f>
        <v>6802999000</v>
      </c>
      <c r="D27" s="32"/>
      <c r="E27" s="33">
        <f>'[1]all data'!I54</f>
        <v>1</v>
      </c>
      <c r="F27" s="34" t="str">
        <f>'[1]all data'!D54</f>
        <v>GUANGDONG SILIQUE INTERNATIONAL  GROUP  MAUFAR CO.,LTD</v>
      </c>
      <c r="G27" s="35"/>
      <c r="H27" s="36">
        <f>'[1]all data'!E54</f>
        <v>25</v>
      </c>
      <c r="I27" s="37">
        <f>'[1]all data'!G54</f>
        <v>0.34</v>
      </c>
      <c r="J27" s="38">
        <f>'[1]all data'!F54</f>
        <v>1</v>
      </c>
      <c r="K27" s="39" t="str">
        <f>'[1]all data'!C54</f>
        <v>pcs/шт</v>
      </c>
      <c r="L27" s="40">
        <f>'[1]all data'!H54</f>
        <v>8.5</v>
      </c>
      <c r="N27" s="41"/>
    </row>
    <row r="28" spans="1:14" ht="45" customHeight="1">
      <c r="A28" s="30" t="str">
        <f>'[1]all data'!A55</f>
        <v>Accessories (Stone flowers)/Аксессуары (цветы из камня)</v>
      </c>
      <c r="B28" s="31" t="str">
        <f>'[1]all data'!B55</f>
        <v>YF117FLOWER</v>
      </c>
      <c r="C28" s="31">
        <f>'[1]all data'!M55</f>
        <v>6802999000</v>
      </c>
      <c r="D28" s="32"/>
      <c r="E28" s="33">
        <f>'[1]all data'!I55</f>
        <v>10</v>
      </c>
      <c r="F28" s="34" t="str">
        <f>'[1]all data'!D55</f>
        <v>GUANGDONG SILIQUE INTERNATIONAL  GROUP  MAUFAR CO.,LTD</v>
      </c>
      <c r="G28" s="35"/>
      <c r="H28" s="36">
        <f>'[1]all data'!E55</f>
        <v>10</v>
      </c>
      <c r="I28" s="37">
        <f>'[1]all data'!G55</f>
        <v>4.41</v>
      </c>
      <c r="J28" s="38">
        <f>'[1]all data'!F55</f>
        <v>1</v>
      </c>
      <c r="K28" s="39" t="str">
        <f>'[1]all data'!C55</f>
        <v>pcs/шт</v>
      </c>
      <c r="L28" s="40">
        <f>'[1]all data'!H55</f>
        <v>44.1</v>
      </c>
      <c r="N28" s="41"/>
    </row>
    <row r="29" spans="1:14" ht="45" customHeight="1">
      <c r="A29" s="30" t="str">
        <f>'[1]all data'!A56</f>
        <v>Accessories (Stone flowers)/Аксессуары (цветы из камня)</v>
      </c>
      <c r="B29" s="31" t="str">
        <f>'[1]all data'!B56</f>
        <v>YF117-2FLOWER</v>
      </c>
      <c r="C29" s="31">
        <f>'[1]all data'!M56</f>
        <v>6802999000</v>
      </c>
      <c r="D29" s="32"/>
      <c r="E29" s="33">
        <f>'[1]all data'!I56</f>
        <v>10</v>
      </c>
      <c r="F29" s="34" t="str">
        <f>'[1]all data'!D56</f>
        <v>GUANGDONG SILIQUE INTERNATIONAL  GROUP  MAUFAR CO.,LTD</v>
      </c>
      <c r="G29" s="35"/>
      <c r="H29" s="36">
        <f>'[1]all data'!E56</f>
        <v>10</v>
      </c>
      <c r="I29" s="37">
        <f>'[1]all data'!G56</f>
        <v>4.41</v>
      </c>
      <c r="J29" s="38">
        <f>'[1]all data'!F56</f>
        <v>1</v>
      </c>
      <c r="K29" s="39" t="str">
        <f>'[1]all data'!C56</f>
        <v>pcs/шт</v>
      </c>
      <c r="L29" s="40">
        <f>'[1]all data'!H56</f>
        <v>44.1</v>
      </c>
      <c r="N29" s="41"/>
    </row>
    <row r="30" spans="1:14" ht="45" customHeight="1">
      <c r="A30" s="30" t="str">
        <f>'[1]all data'!A57</f>
        <v>Accessories (Stone flowers)/Аксессуары (цветы из камня)</v>
      </c>
      <c r="B30" s="31" t="str">
        <f>'[1]all data'!B57</f>
        <v>YF120FLOWER</v>
      </c>
      <c r="C30" s="31">
        <f>'[1]all data'!M57</f>
        <v>6802999000</v>
      </c>
      <c r="D30" s="32"/>
      <c r="E30" s="33">
        <f>'[1]all data'!I57</f>
        <v>1</v>
      </c>
      <c r="F30" s="34" t="str">
        <f>'[1]all data'!D57</f>
        <v>GUANGDONG SILIQUE INTERNATIONAL  GROUP  MAUFAR CO.,LTD</v>
      </c>
      <c r="G30" s="35"/>
      <c r="H30" s="36">
        <f>'[1]all data'!E57</f>
        <v>25</v>
      </c>
      <c r="I30" s="37">
        <f>'[1]all data'!G57</f>
        <v>0.34</v>
      </c>
      <c r="J30" s="38">
        <f>'[1]all data'!F57</f>
        <v>1</v>
      </c>
      <c r="K30" s="39" t="str">
        <f>'[1]all data'!C57</f>
        <v>pcs/шт</v>
      </c>
      <c r="L30" s="40">
        <f>'[1]all data'!H57</f>
        <v>8.5</v>
      </c>
      <c r="N30" s="41"/>
    </row>
    <row r="31" spans="1:14" ht="45" customHeight="1">
      <c r="A31" s="30" t="str">
        <f>'[1]all data'!A58</f>
        <v>Accessories (Stone flowers)/Аксессуары (цветы из камня)</v>
      </c>
      <c r="B31" s="31" t="str">
        <f>'[1]all data'!B58</f>
        <v>YF121FLOWER</v>
      </c>
      <c r="C31" s="31">
        <f>'[1]all data'!M58</f>
        <v>6802999000</v>
      </c>
      <c r="D31" s="32"/>
      <c r="E31" s="33">
        <f>'[1]all data'!I58</f>
        <v>2</v>
      </c>
      <c r="F31" s="34" t="str">
        <f>'[1]all data'!D58</f>
        <v>GUANGDONG SILIQUE INTERNATIONAL  GROUP  MAUFAR CO.,LTD</v>
      </c>
      <c r="G31" s="35"/>
      <c r="H31" s="36">
        <f>'[1]all data'!E58</f>
        <v>50</v>
      </c>
      <c r="I31" s="37">
        <f>'[1]all data'!G58</f>
        <v>0.34</v>
      </c>
      <c r="J31" s="38">
        <f>'[1]all data'!F58</f>
        <v>1</v>
      </c>
      <c r="K31" s="39" t="str">
        <f>'[1]all data'!C58</f>
        <v>pcs/шт</v>
      </c>
      <c r="L31" s="40">
        <f>'[1]all data'!H58</f>
        <v>17</v>
      </c>
      <c r="N31" s="41"/>
    </row>
    <row r="32" spans="1:14" ht="45" customHeight="1">
      <c r="A32" s="30" t="str">
        <f>'[1]all data'!A59</f>
        <v>Accessories (Stone flowers)/Аксессуары (цветы из камня)</v>
      </c>
      <c r="B32" s="31" t="str">
        <f>'[1]all data'!B59</f>
        <v>YF123FLOWER</v>
      </c>
      <c r="C32" s="31">
        <f>'[1]all data'!M59</f>
        <v>6802999000</v>
      </c>
      <c r="D32" s="32"/>
      <c r="E32" s="33">
        <f>'[1]all data'!I59</f>
        <v>2</v>
      </c>
      <c r="F32" s="34" t="str">
        <f>'[1]all data'!D59</f>
        <v>GUANGDONG SILIQUE INTERNATIONAL  GROUP  MAUFAR CO.,LTD</v>
      </c>
      <c r="G32" s="35"/>
      <c r="H32" s="36">
        <f>'[1]all data'!E59</f>
        <v>50</v>
      </c>
      <c r="I32" s="37">
        <f>'[1]all data'!G59</f>
        <v>0.34</v>
      </c>
      <c r="J32" s="38">
        <f>'[1]all data'!F59</f>
        <v>1</v>
      </c>
      <c r="K32" s="39" t="str">
        <f>'[1]all data'!C59</f>
        <v>pcs/шт</v>
      </c>
      <c r="L32" s="40">
        <f>'[1]all data'!H59</f>
        <v>17</v>
      </c>
      <c r="N32" s="41"/>
    </row>
    <row r="33" spans="1:14" ht="45" customHeight="1">
      <c r="A33" s="30" t="str">
        <f>'[1]all data'!A60</f>
        <v>Accessories (Stone flowers)/Аксессуары (цветы из камня)</v>
      </c>
      <c r="B33" s="31" t="str">
        <f>'[1]all data'!B60</f>
        <v>YF124FLOWER</v>
      </c>
      <c r="C33" s="31">
        <f>'[1]all data'!M60</f>
        <v>6802999000</v>
      </c>
      <c r="D33" s="32"/>
      <c r="E33" s="33">
        <f>'[1]all data'!I60</f>
        <v>2</v>
      </c>
      <c r="F33" s="34" t="str">
        <f>'[1]all data'!D60</f>
        <v>GUANGDONG SILIQUE INTERNATIONAL  GROUP  MAUFAR CO.,LTD</v>
      </c>
      <c r="G33" s="35"/>
      <c r="H33" s="36">
        <f>'[1]all data'!E60</f>
        <v>50</v>
      </c>
      <c r="I33" s="37">
        <f>'[1]all data'!G60</f>
        <v>0.34</v>
      </c>
      <c r="J33" s="38">
        <f>'[1]all data'!F60</f>
        <v>1</v>
      </c>
      <c r="K33" s="39" t="str">
        <f>'[1]all data'!C60</f>
        <v>pcs/шт</v>
      </c>
      <c r="L33" s="40">
        <f>'[1]all data'!H60</f>
        <v>17</v>
      </c>
      <c r="N33" s="41"/>
    </row>
    <row r="34" spans="1:14" ht="45" customHeight="1">
      <c r="A34" s="30" t="str">
        <f>'[1]all data'!A61</f>
        <v>Accessories (Stone flowers)/Аксессуары (цветы из камня)</v>
      </c>
      <c r="B34" s="31" t="str">
        <f>'[1]all data'!B61</f>
        <v>YF125FLOWER</v>
      </c>
      <c r="C34" s="31">
        <f>'[1]all data'!M61</f>
        <v>6802999000</v>
      </c>
      <c r="D34" s="32"/>
      <c r="E34" s="33">
        <f>'[1]all data'!I61</f>
        <v>2</v>
      </c>
      <c r="F34" s="34" t="str">
        <f>'[1]all data'!D61</f>
        <v>GUANGDONG SILIQUE INTERNATIONAL  GROUP  MAUFAR CO.,LTD</v>
      </c>
      <c r="G34" s="35"/>
      <c r="H34" s="36">
        <f>'[1]all data'!E61</f>
        <v>50</v>
      </c>
      <c r="I34" s="37">
        <f>'[1]all data'!G61</f>
        <v>0.34</v>
      </c>
      <c r="J34" s="38">
        <f>'[1]all data'!F61</f>
        <v>1</v>
      </c>
      <c r="K34" s="39" t="str">
        <f>'[1]all data'!C61</f>
        <v>pcs/шт</v>
      </c>
      <c r="L34" s="40">
        <f>'[1]all data'!H61</f>
        <v>17</v>
      </c>
      <c r="N34" s="41"/>
    </row>
    <row r="35" spans="1:14" ht="45" customHeight="1">
      <c r="A35" s="30" t="str">
        <f>'[1]all data'!A62</f>
        <v>Accessories (Stone flowers)/Аксессуары (цветы из камня)</v>
      </c>
      <c r="B35" s="31" t="str">
        <f>'[1]all data'!B62</f>
        <v>YF130FLOWER</v>
      </c>
      <c r="C35" s="31">
        <f>'[1]all data'!M62</f>
        <v>6802999000</v>
      </c>
      <c r="D35" s="32"/>
      <c r="E35" s="33">
        <f>'[1]all data'!I62</f>
        <v>1</v>
      </c>
      <c r="F35" s="34" t="str">
        <f>'[1]all data'!D62</f>
        <v>GUANGDONG SILIQUE INTERNATIONAL  GROUP  MAUFAR CO.,LTD</v>
      </c>
      <c r="G35" s="35"/>
      <c r="H35" s="36">
        <f>'[1]all data'!E62</f>
        <v>30</v>
      </c>
      <c r="I35" s="37">
        <f>'[1]all data'!G62</f>
        <v>0.19</v>
      </c>
      <c r="J35" s="38">
        <f>'[1]all data'!F62</f>
        <v>1</v>
      </c>
      <c r="K35" s="39" t="str">
        <f>'[1]all data'!C62</f>
        <v>pcs/шт</v>
      </c>
      <c r="L35" s="40">
        <f>'[1]all data'!H62</f>
        <v>5.7</v>
      </c>
      <c r="N35" s="41"/>
    </row>
    <row r="36" spans="1:14" ht="45" customHeight="1">
      <c r="A36" s="30" t="str">
        <f>'[1]all data'!A63</f>
        <v>Accessories (Stone flowers)/Аксессуары (цветы из камня)</v>
      </c>
      <c r="B36" s="31" t="str">
        <f>'[1]all data'!B63</f>
        <v>YF131FLOWER</v>
      </c>
      <c r="C36" s="31">
        <f>'[1]all data'!M63</f>
        <v>6802999000</v>
      </c>
      <c r="D36" s="32"/>
      <c r="E36" s="33">
        <f>'[1]all data'!I63</f>
        <v>1</v>
      </c>
      <c r="F36" s="34" t="str">
        <f>'[1]all data'!D63</f>
        <v>GUANGDONG SILIQUE INTERNATIONAL  GROUP  MAUFAR CO.,LTD</v>
      </c>
      <c r="G36" s="35"/>
      <c r="H36" s="36">
        <f>'[1]all data'!E63</f>
        <v>30</v>
      </c>
      <c r="I36" s="37">
        <f>'[1]all data'!G63</f>
        <v>0.19</v>
      </c>
      <c r="J36" s="38">
        <f>'[1]all data'!F63</f>
        <v>1</v>
      </c>
      <c r="K36" s="39" t="str">
        <f>'[1]all data'!C63</f>
        <v>pcs/шт</v>
      </c>
      <c r="L36" s="40">
        <f>'[1]all data'!H63</f>
        <v>5.7</v>
      </c>
      <c r="N36" s="41"/>
    </row>
    <row r="37" spans="1:14" ht="45" customHeight="1">
      <c r="A37" s="30" t="str">
        <f>'[1]all data'!A64</f>
        <v>Accessories (Stone flowers)/Аксессуары (цветы из камня)</v>
      </c>
      <c r="B37" s="31" t="str">
        <f>'[1]all data'!B64</f>
        <v>YF133FLOWER</v>
      </c>
      <c r="C37" s="31">
        <f>'[1]all data'!M64</f>
        <v>6802999000</v>
      </c>
      <c r="D37" s="32"/>
      <c r="E37" s="33">
        <f>'[1]all data'!I64</f>
        <v>1</v>
      </c>
      <c r="F37" s="34" t="str">
        <f>'[1]all data'!D64</f>
        <v>GUANGDONG SILIQUE INTERNATIONAL  GROUP  MAUFAR CO.,LTD</v>
      </c>
      <c r="G37" s="35"/>
      <c r="H37" s="36">
        <f>'[1]all data'!E64</f>
        <v>30</v>
      </c>
      <c r="I37" s="37">
        <f>'[1]all data'!G64</f>
        <v>0.19</v>
      </c>
      <c r="J37" s="38">
        <f>'[1]all data'!F64</f>
        <v>1</v>
      </c>
      <c r="K37" s="39" t="str">
        <f>'[1]all data'!C64</f>
        <v>pcs/шт</v>
      </c>
      <c r="L37" s="40">
        <f>'[1]all data'!H64</f>
        <v>5.7</v>
      </c>
      <c r="N37" s="41"/>
    </row>
    <row r="38" spans="1:14" ht="45" customHeight="1">
      <c r="A38" s="30" t="str">
        <f>'[1]all data'!A65</f>
        <v>Accessories (Stone flowers)/Аксессуары (цветы из камня)</v>
      </c>
      <c r="B38" s="31" t="str">
        <f>'[1]all data'!B65</f>
        <v>YF135FLOWER</v>
      </c>
      <c r="C38" s="31">
        <f>'[1]all data'!M65</f>
        <v>6802999000</v>
      </c>
      <c r="D38" s="32"/>
      <c r="E38" s="33">
        <f>'[1]all data'!I65</f>
        <v>1</v>
      </c>
      <c r="F38" s="34" t="str">
        <f>'[1]all data'!D65</f>
        <v>GUANGDONG SILIQUE INTERNATIONAL  GROUP  MAUFAR CO.,LTD</v>
      </c>
      <c r="G38" s="35"/>
      <c r="H38" s="36">
        <f>'[1]all data'!E65</f>
        <v>30</v>
      </c>
      <c r="I38" s="37">
        <f>'[1]all data'!G65</f>
        <v>0.19</v>
      </c>
      <c r="J38" s="38">
        <f>'[1]all data'!F65</f>
        <v>1</v>
      </c>
      <c r="K38" s="39" t="str">
        <f>'[1]all data'!C65</f>
        <v>pcs/шт</v>
      </c>
      <c r="L38" s="40">
        <f>'[1]all data'!H65</f>
        <v>5.7</v>
      </c>
      <c r="N38" s="41"/>
    </row>
    <row r="39" spans="1:14" ht="45" customHeight="1">
      <c r="A39" s="30" t="str">
        <f>'[1]all data'!A66</f>
        <v>Accessories (Stone flowers)/Аксессуары (цветы из камня)</v>
      </c>
      <c r="B39" s="31" t="str">
        <f>'[1]all data'!B66</f>
        <v>YF182FLOWER</v>
      </c>
      <c r="C39" s="31">
        <f>'[1]all data'!M66</f>
        <v>6802999000</v>
      </c>
      <c r="D39" s="32"/>
      <c r="E39" s="33">
        <f>'[1]all data'!I66</f>
        <v>1</v>
      </c>
      <c r="F39" s="34" t="str">
        <f>'[1]all data'!D66</f>
        <v>GUANGDONG SILIQUE INTERNATIONAL  GROUP  MAUFAR CO.,LTD</v>
      </c>
      <c r="G39" s="35"/>
      <c r="H39" s="36">
        <f>'[1]all data'!E66</f>
        <v>10</v>
      </c>
      <c r="I39" s="37">
        <f>'[1]all data'!G66</f>
        <v>1.1200000000000001</v>
      </c>
      <c r="J39" s="38">
        <f>'[1]all data'!F66</f>
        <v>1</v>
      </c>
      <c r="K39" s="39" t="str">
        <f>'[1]all data'!C66</f>
        <v>pcs/шт</v>
      </c>
      <c r="L39" s="40">
        <f>'[1]all data'!H66</f>
        <v>11.200000000000001</v>
      </c>
      <c r="N39" s="41"/>
    </row>
    <row r="40" spans="1:14" ht="45" customHeight="1">
      <c r="A40" s="30" t="str">
        <f>'[1]all data'!A67</f>
        <v>Accessories (Stone flowers)/Аксессуары (цветы из камня)</v>
      </c>
      <c r="B40" s="31" t="str">
        <f>'[1]all data'!B67</f>
        <v>YF184FLOWER</v>
      </c>
      <c r="C40" s="31">
        <f>'[1]all data'!M67</f>
        <v>6802999000</v>
      </c>
      <c r="D40" s="32"/>
      <c r="E40" s="33">
        <f>'[1]all data'!I67</f>
        <v>1</v>
      </c>
      <c r="F40" s="34" t="str">
        <f>'[1]all data'!D67</f>
        <v>GUANGDONG SILIQUE INTERNATIONAL  GROUP  MAUFAR CO.,LTD</v>
      </c>
      <c r="G40" s="35"/>
      <c r="H40" s="36">
        <f>'[1]all data'!E67</f>
        <v>10</v>
      </c>
      <c r="I40" s="37">
        <f>'[1]all data'!G67</f>
        <v>1.1200000000000001</v>
      </c>
      <c r="J40" s="38">
        <f>'[1]all data'!F67</f>
        <v>1</v>
      </c>
      <c r="K40" s="39" t="str">
        <f>'[1]all data'!C67</f>
        <v>pcs/шт</v>
      </c>
      <c r="L40" s="40">
        <f>'[1]all data'!H67</f>
        <v>11.200000000000001</v>
      </c>
      <c r="N40" s="41"/>
    </row>
    <row r="41" spans="1:14" ht="45" customHeight="1">
      <c r="A41" s="30" t="str">
        <f>'[1]all data'!A68</f>
        <v>Accessories (Stone flowers)/Аксессуары (цветы из камня)</v>
      </c>
      <c r="B41" s="31" t="str">
        <f>'[1]all data'!B68</f>
        <v>YF200FLOWER</v>
      </c>
      <c r="C41" s="31">
        <f>'[1]all data'!M68</f>
        <v>6802999000</v>
      </c>
      <c r="D41" s="32"/>
      <c r="E41" s="33">
        <f>'[1]all data'!I68</f>
        <v>2</v>
      </c>
      <c r="F41" s="34" t="str">
        <f>'[1]all data'!D68</f>
        <v>GUANGDONG SILIQUE INTERNATIONAL  GROUP  MAUFAR CO.,LTD</v>
      </c>
      <c r="G41" s="35"/>
      <c r="H41" s="36">
        <f>'[1]all data'!E68</f>
        <v>20</v>
      </c>
      <c r="I41" s="37">
        <f>'[1]all data'!G68</f>
        <v>1.1200000000000001</v>
      </c>
      <c r="J41" s="38">
        <f>'[1]all data'!F68</f>
        <v>1</v>
      </c>
      <c r="K41" s="39" t="str">
        <f>'[1]all data'!C68</f>
        <v>pcs/шт</v>
      </c>
      <c r="L41" s="40">
        <f>'[1]all data'!H68</f>
        <v>22.400000000000002</v>
      </c>
      <c r="N41" s="41"/>
    </row>
    <row r="42" spans="1:14" ht="45" customHeight="1">
      <c r="A42" s="30" t="str">
        <f>'[1]all data'!A69</f>
        <v>Accessories (Stone flowers)/Аксессуары (цветы из камня)</v>
      </c>
      <c r="B42" s="31" t="str">
        <f>'[1]all data'!B69</f>
        <v>YF209FLOWER</v>
      </c>
      <c r="C42" s="31">
        <f>'[1]all data'!M69</f>
        <v>6802999000</v>
      </c>
      <c r="D42" s="32"/>
      <c r="E42" s="33">
        <f>'[1]all data'!I69</f>
        <v>2</v>
      </c>
      <c r="F42" s="34" t="str">
        <f>'[1]all data'!D69</f>
        <v>GUANGDONG SILIQUE INTERNATIONAL  GROUP  MAUFAR CO.,LTD</v>
      </c>
      <c r="G42" s="35"/>
      <c r="H42" s="36">
        <f>'[1]all data'!E69</f>
        <v>8</v>
      </c>
      <c r="I42" s="37">
        <f>'[1]all data'!G69</f>
        <v>1.75</v>
      </c>
      <c r="J42" s="38">
        <f>'[1]all data'!F69</f>
        <v>1</v>
      </c>
      <c r="K42" s="39" t="str">
        <f>'[1]all data'!C69</f>
        <v>pcs/шт</v>
      </c>
      <c r="L42" s="40">
        <f>'[1]all data'!H69</f>
        <v>14</v>
      </c>
      <c r="N42" s="41"/>
    </row>
    <row r="43" spans="1:14" ht="45" customHeight="1">
      <c r="A43" s="30" t="str">
        <f>'[1]all data'!A70</f>
        <v>Accessories (Stone flowers)/Аксессуары (цветы из камня)</v>
      </c>
      <c r="B43" s="31" t="str">
        <f>'[1]all data'!B70</f>
        <v>YF230FLOWER</v>
      </c>
      <c r="C43" s="31">
        <f>'[1]all data'!M70</f>
        <v>6802999000</v>
      </c>
      <c r="D43" s="32"/>
      <c r="E43" s="33">
        <f>'[1]all data'!I70</f>
        <v>1</v>
      </c>
      <c r="F43" s="34" t="str">
        <f>'[1]all data'!D70</f>
        <v>GUANGDONG SILIQUE INTERNATIONAL  GROUP  MAUFAR CO.,LTD</v>
      </c>
      <c r="G43" s="35"/>
      <c r="H43" s="36">
        <f>'[1]all data'!E70</f>
        <v>25</v>
      </c>
      <c r="I43" s="37">
        <f>'[1]all data'!G70</f>
        <v>0.34</v>
      </c>
      <c r="J43" s="38">
        <f>'[1]all data'!F70</f>
        <v>1</v>
      </c>
      <c r="K43" s="39" t="str">
        <f>'[1]all data'!C70</f>
        <v>pcs/шт</v>
      </c>
      <c r="L43" s="40">
        <f>'[1]all data'!H70</f>
        <v>8.5</v>
      </c>
      <c r="N43" s="41"/>
    </row>
    <row r="44" spans="1:14" ht="45" customHeight="1">
      <c r="A44" s="30" t="str">
        <f>'[1]all data'!A71</f>
        <v>Accessories (Stone flowers)/Аксессуары (цветы из камня)</v>
      </c>
      <c r="B44" s="31" t="str">
        <f>'[1]all data'!B71</f>
        <v>YF234FLOWER</v>
      </c>
      <c r="C44" s="31">
        <f>'[1]all data'!M71</f>
        <v>6802999000</v>
      </c>
      <c r="D44" s="32"/>
      <c r="E44" s="33">
        <f>'[1]all data'!I71</f>
        <v>1</v>
      </c>
      <c r="F44" s="34" t="str">
        <f>'[1]all data'!D71</f>
        <v>GUANGDONG SILIQUE INTERNATIONAL  GROUP  MAUFAR CO.,LTD</v>
      </c>
      <c r="G44" s="35"/>
      <c r="H44" s="36">
        <f>'[1]all data'!E71</f>
        <v>25</v>
      </c>
      <c r="I44" s="37">
        <f>'[1]all data'!G71</f>
        <v>0.34</v>
      </c>
      <c r="J44" s="38">
        <f>'[1]all data'!F71</f>
        <v>1</v>
      </c>
      <c r="K44" s="39" t="str">
        <f>'[1]all data'!C71</f>
        <v>pcs/шт</v>
      </c>
      <c r="L44" s="40">
        <f>'[1]all data'!H71</f>
        <v>8.5</v>
      </c>
      <c r="N44" s="41"/>
    </row>
    <row r="45" spans="1:14" ht="45" customHeight="1">
      <c r="A45" s="30" t="str">
        <f>'[1]all data'!A72</f>
        <v>Accessories (Stone flowers)/Аксессуары (цветы из камня)</v>
      </c>
      <c r="B45" s="31" t="str">
        <f>'[1]all data'!B72</f>
        <v>YF236FLOWER</v>
      </c>
      <c r="C45" s="31">
        <f>'[1]all data'!M72</f>
        <v>6802999000</v>
      </c>
      <c r="D45" s="32"/>
      <c r="E45" s="33">
        <f>'[1]all data'!I72</f>
        <v>2</v>
      </c>
      <c r="F45" s="34" t="str">
        <f>'[1]all data'!D72</f>
        <v>GUANGDONG SILIQUE INTERNATIONAL  GROUP  MAUFAR CO.,LTD</v>
      </c>
      <c r="G45" s="35"/>
      <c r="H45" s="36">
        <f>'[1]all data'!E72</f>
        <v>50</v>
      </c>
      <c r="I45" s="37">
        <f>'[1]all data'!G72</f>
        <v>0.34</v>
      </c>
      <c r="J45" s="38">
        <f>'[1]all data'!F72</f>
        <v>1</v>
      </c>
      <c r="K45" s="39" t="str">
        <f>'[1]all data'!C72</f>
        <v>pcs/шт</v>
      </c>
      <c r="L45" s="40">
        <f>'[1]all data'!H72</f>
        <v>17</v>
      </c>
      <c r="N45" s="41"/>
    </row>
    <row r="46" spans="1:14" ht="45" customHeight="1">
      <c r="A46" s="30" t="str">
        <f>'[1]all data'!A73</f>
        <v>Accessories (Stone flowers)/Аксессуары (цветы из камня)</v>
      </c>
      <c r="B46" s="31" t="str">
        <f>'[1]all data'!B73</f>
        <v>YF307FLOWER</v>
      </c>
      <c r="C46" s="31">
        <f>'[1]all data'!M73</f>
        <v>6802999000</v>
      </c>
      <c r="D46" s="32"/>
      <c r="E46" s="33">
        <f>'[1]all data'!I73</f>
        <v>3</v>
      </c>
      <c r="F46" s="34" t="str">
        <f>'[1]all data'!D73</f>
        <v>GUANGDONG SILIQUE INTERNATIONAL  GROUP  MAUFAR CO.,LTD</v>
      </c>
      <c r="G46" s="35"/>
      <c r="H46" s="36">
        <f>'[1]all data'!E73</f>
        <v>75</v>
      </c>
      <c r="I46" s="37">
        <f>'[1]all data'!G73</f>
        <v>0.34</v>
      </c>
      <c r="J46" s="38">
        <f>'[1]all data'!F73</f>
        <v>1</v>
      </c>
      <c r="K46" s="39" t="str">
        <f>'[1]all data'!C73</f>
        <v>pcs/шт</v>
      </c>
      <c r="L46" s="40">
        <f>'[1]all data'!H73</f>
        <v>25.500000000000004</v>
      </c>
      <c r="N46" s="41"/>
    </row>
    <row r="47" spans="1:14" ht="45" customHeight="1">
      <c r="A47" s="30" t="str">
        <f>'[1]all data'!A74</f>
        <v>Accessories (Stone flowers)/Аксессуары (цветы из камня)</v>
      </c>
      <c r="B47" s="31" t="str">
        <f>'[1]all data'!B74</f>
        <v>YF308FLOWER</v>
      </c>
      <c r="C47" s="31">
        <f>'[1]all data'!M74</f>
        <v>6802999000</v>
      </c>
      <c r="D47" s="32"/>
      <c r="E47" s="33">
        <f>'[1]all data'!I74</f>
        <v>2</v>
      </c>
      <c r="F47" s="34" t="str">
        <f>'[1]all data'!D74</f>
        <v>GUANGDONG SILIQUE INTERNATIONAL  GROUP  MAUFAR CO.,LTD</v>
      </c>
      <c r="G47" s="35"/>
      <c r="H47" s="36">
        <f>'[1]all data'!E74</f>
        <v>50</v>
      </c>
      <c r="I47" s="37">
        <f>'[1]all data'!G74</f>
        <v>0.34</v>
      </c>
      <c r="J47" s="38">
        <f>'[1]all data'!F74</f>
        <v>1</v>
      </c>
      <c r="K47" s="39" t="str">
        <f>'[1]all data'!C74</f>
        <v>pcs/шт</v>
      </c>
      <c r="L47" s="40">
        <f>'[1]all data'!H74</f>
        <v>17</v>
      </c>
      <c r="N47" s="41"/>
    </row>
    <row r="48" spans="1:14" ht="45" customHeight="1">
      <c r="A48" s="30" t="str">
        <f>'[1]all data'!A75</f>
        <v>Accessories (Stone flowers)/Аксессуары (цветы из камня)</v>
      </c>
      <c r="B48" s="31" t="str">
        <f>'[1]all data'!B75</f>
        <v>YF309FLOWER</v>
      </c>
      <c r="C48" s="31">
        <f>'[1]all data'!M75</f>
        <v>6802999000</v>
      </c>
      <c r="D48" s="32"/>
      <c r="E48" s="33">
        <f>'[1]all data'!I75</f>
        <v>1</v>
      </c>
      <c r="F48" s="34" t="str">
        <f>'[1]all data'!D75</f>
        <v>GUANGDONG SILIQUE INTERNATIONAL  GROUP  MAUFAR CO.,LTD</v>
      </c>
      <c r="G48" s="35"/>
      <c r="H48" s="36">
        <f>'[1]all data'!E75</f>
        <v>20</v>
      </c>
      <c r="I48" s="37">
        <f>'[1]all data'!G75</f>
        <v>0.34</v>
      </c>
      <c r="J48" s="38">
        <f>'[1]all data'!F75</f>
        <v>1</v>
      </c>
      <c r="K48" s="39" t="str">
        <f>'[1]all data'!C75</f>
        <v>pcs/шт</v>
      </c>
      <c r="L48" s="40">
        <f>'[1]all data'!H75</f>
        <v>6.8000000000000007</v>
      </c>
      <c r="N48" s="41"/>
    </row>
    <row r="49" spans="1:14" ht="45" customHeight="1">
      <c r="A49" s="30" t="str">
        <f>'[1]all data'!A76</f>
        <v>Accessories (Stone flowers)/Аксессуары (цветы из камня)</v>
      </c>
      <c r="B49" s="31" t="str">
        <f>'[1]all data'!B76</f>
        <v>YF609ORANGE</v>
      </c>
      <c r="C49" s="31">
        <f>'[1]all data'!M76</f>
        <v>6802999000</v>
      </c>
      <c r="D49" s="32"/>
      <c r="E49" s="33">
        <f>'[1]all data'!I76</f>
        <v>4</v>
      </c>
      <c r="F49" s="34" t="str">
        <f>'[1]all data'!D76</f>
        <v>GUANGDONG SILIQUE INTERNATIONAL  GROUP  MAUFAR CO.,LTD</v>
      </c>
      <c r="G49" s="35"/>
      <c r="H49" s="36">
        <f>'[1]all data'!E76</f>
        <v>100</v>
      </c>
      <c r="I49" s="37">
        <f>'[1]all data'!G76</f>
        <v>0.26</v>
      </c>
      <c r="J49" s="38">
        <f>'[1]all data'!F76</f>
        <v>1</v>
      </c>
      <c r="K49" s="39" t="str">
        <f>'[1]all data'!C76</f>
        <v>pcs/шт</v>
      </c>
      <c r="L49" s="40">
        <f>'[1]all data'!H76</f>
        <v>26</v>
      </c>
      <c r="N49" s="41"/>
    </row>
    <row r="50" spans="1:14" ht="45" customHeight="1">
      <c r="A50" s="30" t="str">
        <f>'[1]all data'!A77</f>
        <v>Accessories (Stone flowers)/Аксессуары (цветы из камня)</v>
      </c>
      <c r="B50" s="31" t="str">
        <f>'[1]all data'!B77</f>
        <v>F001-10FLOWER</v>
      </c>
      <c r="C50" s="31">
        <f>'[1]all data'!M77</f>
        <v>6802999000</v>
      </c>
      <c r="D50" s="32"/>
      <c r="E50" s="33">
        <f>'[1]all data'!I77</f>
        <v>1</v>
      </c>
      <c r="F50" s="34" t="str">
        <f>'[1]all data'!D77</f>
        <v>GUANGDONG SILIQUE INTERNATIONAL  GROUP  MAUFAR CO.,LTD</v>
      </c>
      <c r="G50" s="35"/>
      <c r="H50" s="36">
        <f>'[1]all data'!E77</f>
        <v>10</v>
      </c>
      <c r="I50" s="37">
        <f>'[1]all data'!G77</f>
        <v>0.98</v>
      </c>
      <c r="J50" s="38">
        <f>'[1]all data'!F77</f>
        <v>1</v>
      </c>
      <c r="K50" s="39" t="str">
        <f>'[1]all data'!C77</f>
        <v>pcs/шт</v>
      </c>
      <c r="L50" s="40">
        <f>'[1]all data'!H77</f>
        <v>9.8000000000000007</v>
      </c>
      <c r="N50" s="41"/>
    </row>
    <row r="51" spans="1:14" ht="45" customHeight="1">
      <c r="A51" s="30" t="str">
        <f>'[1]all data'!A78</f>
        <v>Accessories (Stone flowers)/Аксессуары (цветы из камня)</v>
      </c>
      <c r="B51" s="31" t="str">
        <f>'[1]all data'!B78</f>
        <v>F275FLOWER</v>
      </c>
      <c r="C51" s="31">
        <f>'[1]all data'!M78</f>
        <v>6802999000</v>
      </c>
      <c r="D51" s="32"/>
      <c r="E51" s="33">
        <f>'[1]all data'!I78</f>
        <v>1</v>
      </c>
      <c r="F51" s="34" t="str">
        <f>'[1]all data'!D78</f>
        <v>GUANGDONG SILIQUE INTERNATIONAL  GROUP  MAUFAR CO.,LTD</v>
      </c>
      <c r="G51" s="35"/>
      <c r="H51" s="36">
        <f>'[1]all data'!E78</f>
        <v>10</v>
      </c>
      <c r="I51" s="37">
        <f>'[1]all data'!G78</f>
        <v>1.54</v>
      </c>
      <c r="J51" s="38">
        <f>'[1]all data'!F78</f>
        <v>1</v>
      </c>
      <c r="K51" s="39" t="str">
        <f>'[1]all data'!C78</f>
        <v>pcs/шт</v>
      </c>
      <c r="L51" s="40">
        <f>'[1]all data'!H78</f>
        <v>15.4</v>
      </c>
      <c r="N51" s="41"/>
    </row>
    <row r="52" spans="1:14" ht="45" customHeight="1">
      <c r="A52" s="30" t="str">
        <f>'[1]all data'!A79</f>
        <v>Accessories (Stone flowers)/Аксессуары (цветы из камня)</v>
      </c>
      <c r="B52" s="31" t="str">
        <f>'[1]all data'!B79</f>
        <v>F494-2FLOWER</v>
      </c>
      <c r="C52" s="31">
        <f>'[1]all data'!M79</f>
        <v>6802999000</v>
      </c>
      <c r="D52" s="32"/>
      <c r="E52" s="33">
        <f>'[1]all data'!I79</f>
        <v>1</v>
      </c>
      <c r="F52" s="34" t="str">
        <f>'[1]all data'!D79</f>
        <v>GUANGDONG SILIQUE INTERNATIONAL  GROUP  MAUFAR CO.,LTD</v>
      </c>
      <c r="G52" s="35"/>
      <c r="H52" s="36">
        <f>'[1]all data'!E79</f>
        <v>25</v>
      </c>
      <c r="I52" s="37">
        <f>'[1]all data'!G79</f>
        <v>0.34</v>
      </c>
      <c r="J52" s="38">
        <f>'[1]all data'!F79</f>
        <v>1</v>
      </c>
      <c r="K52" s="39" t="str">
        <f>'[1]all data'!C79</f>
        <v>pcs/шт</v>
      </c>
      <c r="L52" s="40">
        <f>'[1]all data'!H79</f>
        <v>8.5</v>
      </c>
      <c r="N52" s="41"/>
    </row>
    <row r="53" spans="1:14" ht="45" customHeight="1">
      <c r="A53" s="30" t="str">
        <f>'[1]all data'!A80</f>
        <v>Accessories (Stone flowers)/Аксессуары (цветы из камня)</v>
      </c>
      <c r="B53" s="31" t="str">
        <f>'[1]all data'!B80</f>
        <v>F494-232redFLOWER</v>
      </c>
      <c r="C53" s="31">
        <f>'[1]all data'!M80</f>
        <v>6802999000</v>
      </c>
      <c r="D53" s="32"/>
      <c r="E53" s="33">
        <f>'[1]all data'!I80</f>
        <v>2</v>
      </c>
      <c r="F53" s="34" t="str">
        <f>'[1]all data'!D80</f>
        <v>GUANGDONG SILIQUE INTERNATIONAL  GROUP  MAUFAR CO.,LTD</v>
      </c>
      <c r="G53" s="35"/>
      <c r="H53" s="36">
        <f>'[1]all data'!E80</f>
        <v>50</v>
      </c>
      <c r="I53" s="37">
        <f>'[1]all data'!G80</f>
        <v>0.34</v>
      </c>
      <c r="J53" s="38">
        <f>'[1]all data'!F80</f>
        <v>1</v>
      </c>
      <c r="K53" s="39" t="str">
        <f>'[1]all data'!C80</f>
        <v>pcs/шт</v>
      </c>
      <c r="L53" s="40">
        <f>'[1]all data'!H80</f>
        <v>17</v>
      </c>
      <c r="N53" s="41"/>
    </row>
    <row r="54" spans="1:14" ht="45" customHeight="1">
      <c r="A54" s="30" t="str">
        <f>'[1]all data'!A81</f>
        <v>Accessories (Stone flowers)/Аксессуары (цветы из камня)</v>
      </c>
      <c r="B54" s="31" t="str">
        <f>'[1]all data'!B81</f>
        <v>YF128FLOWER</v>
      </c>
      <c r="C54" s="31">
        <f>'[1]all data'!M81</f>
        <v>6802999000</v>
      </c>
      <c r="D54" s="32"/>
      <c r="E54" s="33">
        <f>'[1]all data'!I81</f>
        <v>2</v>
      </c>
      <c r="F54" s="34" t="str">
        <f>'[1]all data'!D81</f>
        <v>GUANGDONG SILIQUE INTERNATIONAL  GROUP  MAUFAR CO.,LTD</v>
      </c>
      <c r="G54" s="35"/>
      <c r="H54" s="36">
        <f>'[1]all data'!E81</f>
        <v>50</v>
      </c>
      <c r="I54" s="37">
        <f>'[1]all data'!G81</f>
        <v>0.34</v>
      </c>
      <c r="J54" s="38">
        <f>'[1]all data'!F81</f>
        <v>1</v>
      </c>
      <c r="K54" s="39" t="str">
        <f>'[1]all data'!C81</f>
        <v>pcs/шт</v>
      </c>
      <c r="L54" s="40">
        <f>'[1]all data'!H81</f>
        <v>17</v>
      </c>
      <c r="N54" s="41"/>
    </row>
    <row r="55" spans="1:14" ht="45" customHeight="1">
      <c r="A55" s="30" t="str">
        <f>'[1]all data'!A82</f>
        <v>Accessories (Stone flowers)/Аксессуары (цветы из камня)</v>
      </c>
      <c r="B55" s="31" t="str">
        <f>'[1]all data'!B82</f>
        <v>YF228FLOWER</v>
      </c>
      <c r="C55" s="31">
        <f>'[1]all data'!M82</f>
        <v>6802999000</v>
      </c>
      <c r="D55" s="32"/>
      <c r="E55" s="33">
        <f>'[1]all data'!I82</f>
        <v>3</v>
      </c>
      <c r="F55" s="34" t="str">
        <f>'[1]all data'!D82</f>
        <v>GUANGDONG SILIQUE INTERNATIONAL  GROUP  MAUFAR CO.,LTD</v>
      </c>
      <c r="G55" s="35"/>
      <c r="H55" s="36">
        <f>'[1]all data'!E82</f>
        <v>75</v>
      </c>
      <c r="I55" s="37">
        <f>'[1]all data'!G82</f>
        <v>1.18</v>
      </c>
      <c r="J55" s="38">
        <f>'[1]all data'!F82</f>
        <v>1</v>
      </c>
      <c r="K55" s="39" t="str">
        <f>'[1]all data'!C82</f>
        <v>pcs/шт</v>
      </c>
      <c r="L55" s="40">
        <f>'[1]all data'!H82</f>
        <v>88.5</v>
      </c>
      <c r="N55" s="41"/>
    </row>
    <row r="56" spans="1:14" ht="45" customHeight="1">
      <c r="A56" s="30" t="str">
        <f>'[1]all data'!A83</f>
        <v>Accessories (Stone flowers)/Аксессуары (цветы из камня)</v>
      </c>
      <c r="B56" s="31" t="str">
        <f>'[1]all data'!B83</f>
        <v>F593FLOWER</v>
      </c>
      <c r="C56" s="31">
        <f>'[1]all data'!M83</f>
        <v>6802999000</v>
      </c>
      <c r="D56" s="32"/>
      <c r="E56" s="33">
        <f>'[1]all data'!I83</f>
        <v>1</v>
      </c>
      <c r="F56" s="34" t="str">
        <f>'[1]all data'!D83</f>
        <v>GUANGDONG SILIQUE INTERNATIONAL  GROUP  MAUFAR CO.,LTD</v>
      </c>
      <c r="G56" s="35"/>
      <c r="H56" s="36">
        <f>'[1]all data'!E83</f>
        <v>20</v>
      </c>
      <c r="I56" s="37">
        <f>'[1]all data'!G83</f>
        <v>0.63</v>
      </c>
      <c r="J56" s="38">
        <f>'[1]all data'!F83</f>
        <v>1</v>
      </c>
      <c r="K56" s="39" t="str">
        <f>'[1]all data'!C83</f>
        <v>pcs/шт</v>
      </c>
      <c r="L56" s="40">
        <f>'[1]all data'!H83</f>
        <v>12.6</v>
      </c>
      <c r="N56" s="41"/>
    </row>
    <row r="57" spans="1:14" ht="45" customHeight="1">
      <c r="A57" s="30" t="str">
        <f>'[1]all data'!A84</f>
        <v>Accessories (Stone flowers)/Аксессуары (цветы из камня)</v>
      </c>
      <c r="B57" s="31" t="str">
        <f>'[1]all data'!B84</f>
        <v>YF134FLOWER</v>
      </c>
      <c r="C57" s="31">
        <f>'[1]all data'!M84</f>
        <v>6802999000</v>
      </c>
      <c r="D57" s="32"/>
      <c r="E57" s="33">
        <f>'[1]all data'!I84</f>
        <v>1</v>
      </c>
      <c r="F57" s="34" t="str">
        <f>'[1]all data'!D84</f>
        <v>GUANGDONG SILIQUE INTERNATIONAL  GROUP  MAUFAR CO.,LTD</v>
      </c>
      <c r="G57" s="35"/>
      <c r="H57" s="36">
        <f>'[1]all data'!E84</f>
        <v>30</v>
      </c>
      <c r="I57" s="37">
        <f>'[1]all data'!G84</f>
        <v>0.19</v>
      </c>
      <c r="J57" s="38">
        <f>'[1]all data'!F84</f>
        <v>1</v>
      </c>
      <c r="K57" s="39" t="str">
        <f>'[1]all data'!C84</f>
        <v>pcs/шт</v>
      </c>
      <c r="L57" s="40">
        <f>'[1]all data'!H84</f>
        <v>5.7</v>
      </c>
      <c r="N57" s="41"/>
    </row>
    <row r="58" spans="1:14" ht="45" customHeight="1">
      <c r="A58" s="30" t="str">
        <f>'[1]all data'!A85</f>
        <v>Accessories (Stone flowers)/Аксессуары (цветы из камня)</v>
      </c>
      <c r="B58" s="31" t="str">
        <f>'[1]all data'!B85</f>
        <v>YF232FLOWER</v>
      </c>
      <c r="C58" s="31">
        <f>'[1]all data'!M85</f>
        <v>6802999000</v>
      </c>
      <c r="D58" s="32"/>
      <c r="E58" s="33">
        <f>'[1]all data'!I85</f>
        <v>2</v>
      </c>
      <c r="F58" s="34" t="str">
        <f>'[1]all data'!D85</f>
        <v>GUANGDONG SILIQUE INTERNATIONAL  GROUP  MAUFAR CO.,LTD</v>
      </c>
      <c r="G58" s="35"/>
      <c r="H58" s="36">
        <f>'[1]all data'!E85</f>
        <v>50</v>
      </c>
      <c r="I58" s="37">
        <f>'[1]all data'!G85</f>
        <v>0.34</v>
      </c>
      <c r="J58" s="38">
        <f>'[1]all data'!F85</f>
        <v>1</v>
      </c>
      <c r="K58" s="39" t="str">
        <f>'[1]all data'!C85</f>
        <v>pcs/шт</v>
      </c>
      <c r="L58" s="40">
        <f>'[1]all data'!H85</f>
        <v>17</v>
      </c>
      <c r="N58" s="41"/>
    </row>
    <row r="59" spans="1:14" ht="45" customHeight="1">
      <c r="A59" s="30" t="str">
        <f>'[1]all data'!A86</f>
        <v>Accessories (Stone flowers)/Аксессуары (цветы из камня)</v>
      </c>
      <c r="B59" s="31" t="str">
        <f>'[1]all data'!B86</f>
        <v>YF306FLOWER</v>
      </c>
      <c r="C59" s="31">
        <f>'[1]all data'!M86</f>
        <v>6802999000</v>
      </c>
      <c r="D59" s="32"/>
      <c r="E59" s="33">
        <f>'[1]all data'!I86</f>
        <v>1</v>
      </c>
      <c r="F59" s="34" t="str">
        <f>'[1]all data'!D86</f>
        <v>GUANGDONG SILIQUE INTERNATIONAL  GROUP  MAUFAR CO.,LTD</v>
      </c>
      <c r="G59" s="35"/>
      <c r="H59" s="36">
        <f>'[1]all data'!E86</f>
        <v>25</v>
      </c>
      <c r="I59" s="37">
        <f>'[1]all data'!G86</f>
        <v>0.34</v>
      </c>
      <c r="J59" s="38">
        <f>'[1]all data'!F86</f>
        <v>1</v>
      </c>
      <c r="K59" s="39" t="str">
        <f>'[1]all data'!C86</f>
        <v>pcs/шт</v>
      </c>
      <c r="L59" s="40">
        <f>'[1]all data'!H86</f>
        <v>8.5</v>
      </c>
      <c r="N59" s="41"/>
    </row>
    <row r="60" spans="1:14" s="2" customFormat="1" ht="29.25" customHeight="1">
      <c r="A60" s="42"/>
      <c r="B60" s="43"/>
      <c r="C60" s="44" t="str">
        <f>'[1]all data'!C87</f>
        <v>TOTAL/ ИТОГО</v>
      </c>
      <c r="D60" s="45"/>
      <c r="E60" s="46">
        <f>'[1]all data'!I87</f>
        <v>93</v>
      </c>
      <c r="F60" s="47"/>
      <c r="G60" s="44"/>
      <c r="H60" s="46">
        <f>'[1]all data'!E87</f>
        <v>1670</v>
      </c>
      <c r="I60" s="48"/>
      <c r="J60" s="49"/>
      <c r="K60" s="49"/>
      <c r="L60" s="50">
        <f>'[1]all data'!H87</f>
        <v>888.83</v>
      </c>
    </row>
    <row r="61" spans="1:14" s="2" customFormat="1">
      <c r="A61" s="51"/>
      <c r="B61" s="52"/>
      <c r="C61" s="53"/>
      <c r="D61" s="54"/>
      <c r="E61" s="55"/>
      <c r="F61" s="56"/>
      <c r="G61" s="53"/>
      <c r="H61" s="53"/>
      <c r="I61" s="57"/>
      <c r="J61" s="57"/>
      <c r="K61" s="57"/>
      <c r="L61" s="58"/>
    </row>
    <row r="62" spans="1:14" s="2" customFormat="1" ht="51.75" customHeight="1">
      <c r="A62" s="59" t="str">
        <f>'[1]all data'!A24</f>
        <v>Delivery term:/ Условия Поставки</v>
      </c>
      <c r="B62" s="60" t="str">
        <f>'[1]all data'!A23</f>
        <v>Payment term:/ Условия Оплаты:</v>
      </c>
      <c r="C62" s="60"/>
      <c r="D62" s="60"/>
      <c r="E62" s="60"/>
      <c r="F62" s="60" t="str">
        <f>'[1]all data'!A25</f>
        <v>Date of Delivery:/ Дата поставки</v>
      </c>
      <c r="G62" s="60"/>
      <c r="H62" s="60" t="str">
        <f>'[1]all data'!A19</f>
        <v>Contract #: Номер Контракта:</v>
      </c>
      <c r="I62" s="60"/>
      <c r="J62" s="60"/>
      <c r="K62" s="60" t="str">
        <f>'[1]all data'!A26</f>
        <v>Country of origin:/  Страна Происхождения:</v>
      </c>
      <c r="L62" s="60"/>
    </row>
    <row r="63" spans="1:14" ht="227.25" customHeight="1">
      <c r="A63" s="59" t="str">
        <f>'[1]all data'!B24</f>
        <v>ex-works Jiakou, Guanzhou, China / EXW Джиакоу, Гуанчжоу</v>
      </c>
      <c r="B63" s="60" t="str">
        <f>'[1]all data'!B23</f>
        <v>100% of cost of the goods within 15 calendar days after signing of specification / Условия оплаты: 100% оплата в течение 15 календарных дней после подписания спецификации
In the event that the Seller fails to fulfill the order within 70 calendar days from the date of placing the order, the prepayment shall be returned to the account of the Buyer within 90 calendar days / В случае невыполнения Продавцом заказа в течение 70 календарных дней со дня размещения заказа, предоплата подлежит возврату на счёт Покупателя в течение 90 календарных дней</v>
      </c>
      <c r="C63" s="60"/>
      <c r="D63" s="60"/>
      <c r="E63" s="60"/>
      <c r="F63" s="60" t="str">
        <f>'[1]all data'!B25</f>
        <v>The delivery date is not later than 01.09.2018  / Дата поставки не позднее 01.09.2018г.</v>
      </c>
      <c r="G63" s="60"/>
      <c r="H63" s="61" t="str">
        <f>'[1]all data'!B19</f>
        <v>0103-XDR-AC</v>
      </c>
      <c r="I63" s="61"/>
      <c r="J63" s="61"/>
      <c r="K63" s="60" t="str">
        <f>'[1]all data'!B26</f>
        <v>China/ Китай</v>
      </c>
      <c r="L63" s="60"/>
    </row>
    <row r="64" spans="1:14">
      <c r="C64" s="4"/>
      <c r="D64" s="62"/>
      <c r="E64" s="4"/>
      <c r="G64" s="13"/>
      <c r="H64" s="13"/>
      <c r="I64" s="13"/>
      <c r="J64" s="13"/>
      <c r="K64" s="13"/>
      <c r="L64" s="20"/>
    </row>
    <row r="65" spans="1:12">
      <c r="C65" s="9" t="str">
        <f>'[1]all data'!A2</f>
        <v>Seller :/ Продавец:</v>
      </c>
      <c r="D65" s="62"/>
      <c r="E65" s="19" t="str">
        <f>'[1]all data'!B2</f>
        <v>XUZHOU DOUBLE RINGS MACHINERY CO., LTD.</v>
      </c>
      <c r="G65" s="9"/>
      <c r="H65" s="9"/>
      <c r="I65" s="63"/>
      <c r="J65" s="63"/>
      <c r="K65" s="63"/>
    </row>
    <row r="66" spans="1:12">
      <c r="C66" s="9" t="str">
        <f>'[1]all data'!A3</f>
        <v>Seller's address:/ Адрес продавца:</v>
      </c>
      <c r="D66" s="2"/>
      <c r="E66" s="4" t="str">
        <f>'[1]all data'!B3</f>
        <v>28 BEIJING  ROAD TONGSHAN NEW DISTRICT XUZHOU JIANGSU CHINA</v>
      </c>
    </row>
    <row r="67" spans="1:12">
      <c r="C67" s="9" t="str">
        <f>'[1]all data'!A4</f>
        <v>Seller's bank:/ Наименование банка продавца:</v>
      </c>
      <c r="D67" s="62"/>
      <c r="E67" s="13" t="str">
        <f>'[1]all data'!B4</f>
        <v>HANG SENG BANK LIMITED</v>
      </c>
      <c r="G67" s="13"/>
      <c r="H67" s="13"/>
      <c r="I67" s="13"/>
      <c r="J67" s="13"/>
      <c r="K67" s="13"/>
    </row>
    <row r="68" spans="1:12">
      <c r="C68" s="9" t="str">
        <f>'[1]all data'!A5</f>
        <v>SWIFT:/ SWIFT код:</v>
      </c>
      <c r="D68" s="62"/>
      <c r="E68" s="13" t="str">
        <f>'[1]all data'!B5</f>
        <v xml:space="preserve">HASEHKHH </v>
      </c>
      <c r="G68" s="13"/>
    </row>
    <row r="69" spans="1:12">
      <c r="C69" s="9" t="str">
        <f>'[1]all data'!A6</f>
        <v>Seller's bank ac, #:/ Номер счета продавца:</v>
      </c>
      <c r="D69" s="62"/>
      <c r="E69" s="64" t="str">
        <f>'[1]all data'!B6</f>
        <v>787541192883</v>
      </c>
      <c r="F69" s="65"/>
    </row>
    <row r="70" spans="1:12">
      <c r="C70" s="9" t="s">
        <v>3</v>
      </c>
      <c r="D70" s="62"/>
      <c r="E70" s="66" t="str">
        <f>'[1]all data'!B7</f>
        <v>http://doublerings3.diytrade.com/</v>
      </c>
    </row>
    <row r="71" spans="1:12">
      <c r="C71" s="9"/>
      <c r="D71" s="62"/>
      <c r="E71" s="66"/>
    </row>
    <row r="72" spans="1:12">
      <c r="A72" s="2" t="str">
        <f>'[1]all data'!A89</f>
        <v>Область применения: аксессуары для оформления интерьера</v>
      </c>
      <c r="C72" s="9"/>
      <c r="D72" s="62"/>
      <c r="E72" s="66"/>
    </row>
    <row r="74" spans="1:12" ht="14.25" customHeight="1">
      <c r="A74" s="2"/>
      <c r="E74" s="29"/>
      <c r="F74" s="29"/>
      <c r="G74" s="29"/>
      <c r="H74" s="29"/>
    </row>
    <row r="75" spans="1:12" ht="15" thickBot="1">
      <c r="A75" s="67"/>
      <c r="B75" s="67"/>
      <c r="C75" s="67"/>
      <c r="D75" s="67"/>
      <c r="E75" s="29"/>
      <c r="F75" s="29"/>
      <c r="G75" s="29"/>
      <c r="H75" s="29"/>
    </row>
    <row r="76" spans="1:12" ht="162" customHeight="1" thickBot="1">
      <c r="A76" s="68" t="str">
        <f>'[1]all data'!A95</f>
        <v>Грузоотправитель: InnerMongoliaAsiaEuropeInternationgalLogisticsLimitedCo,Ltd, ComprehensiveBuilding，ChinaRailwayExpressHubLogisticsBase, Qisumu, TsiningDistrict, Ulanqab, InnerMongolia, China, tel: +86 13501379948 / Иннер Монголия Азия Европа Интернешнл Логистикс Лимитед Ко., Лтд. КомпрехенсивБилдинг，ЧайнаРэилвэй Экспресс ХабЛоджистиксБэйз, Кисуму, Цинский район, Уланкаб, Внутренняя Монголия, Китай, тел: +86 13501379948 по поручению от XUZHOU DOUBLE RINGS MACHINERY CO., LTD.</v>
      </c>
      <c r="B76" s="67"/>
      <c r="C76" s="67"/>
      <c r="D76" s="67"/>
      <c r="E76" s="29"/>
      <c r="F76" s="29"/>
      <c r="G76" s="29"/>
      <c r="H76" s="29"/>
      <c r="L76" s="4"/>
    </row>
    <row r="77" spans="1:12" ht="15" thickBot="1">
      <c r="D77" s="9"/>
      <c r="E77" s="29"/>
      <c r="F77" s="29"/>
      <c r="G77" s="29"/>
      <c r="H77" s="29"/>
      <c r="L77" s="4"/>
    </row>
    <row r="78" spans="1:12" ht="57.75" thickBot="1">
      <c r="A78" s="68" t="str">
        <f>'[1]all data'!A101</f>
        <v>Грузополучатель: АО ТАСКОМ  249020 КАЛУЖСКАЯ ОБЛАСТЬ БОРОВСКИЙ РАЙОН СЕЛО ВОРСИНО СЕВЕРНАЯ ПРОМЫШЛЕННАЯ ЗОНА ВЛАДЕНИЕ 6 СТРОЕНИЕ 1  Россия  по поручению от LLC “RESPECT” / ООО "РЕСПЕКТ"</v>
      </c>
      <c r="C78" s="4"/>
      <c r="D78" s="9"/>
      <c r="E78" s="29"/>
      <c r="F78" s="29"/>
      <c r="G78" s="29"/>
      <c r="H78" s="29"/>
    </row>
    <row r="79" spans="1:12">
      <c r="D79" s="9"/>
      <c r="E79" s="29"/>
      <c r="F79" s="29"/>
      <c r="G79" s="29"/>
      <c r="H79" s="29"/>
    </row>
    <row r="80" spans="1:12">
      <c r="E80" s="29"/>
      <c r="F80" s="29"/>
      <c r="G80" s="29"/>
      <c r="H80" s="29"/>
    </row>
    <row r="81" spans="1:12">
      <c r="E81" s="29"/>
      <c r="F81" s="29"/>
      <c r="G81" s="29"/>
      <c r="H81" s="29"/>
    </row>
    <row r="82" spans="1:12">
      <c r="E82" s="29"/>
      <c r="F82" s="29"/>
      <c r="G82" s="29"/>
      <c r="H82" s="29"/>
    </row>
    <row r="83" spans="1:12">
      <c r="E83" s="29"/>
      <c r="F83" s="29"/>
      <c r="G83" s="29"/>
      <c r="H83" s="29"/>
    </row>
    <row r="84" spans="1:12">
      <c r="E84" s="29"/>
      <c r="F84" s="29"/>
      <c r="G84" s="29"/>
      <c r="H84" s="29"/>
    </row>
    <row r="85" spans="1:12">
      <c r="E85" s="29"/>
      <c r="F85" s="29"/>
      <c r="G85" s="29"/>
      <c r="H85" s="29"/>
    </row>
    <row r="86" spans="1:12">
      <c r="E86" s="29"/>
      <c r="F86" s="29"/>
      <c r="G86" s="29"/>
      <c r="H86" s="29"/>
    </row>
    <row r="87" spans="1:12">
      <c r="A87" s="69" t="s">
        <v>4</v>
      </c>
      <c r="B87" s="69"/>
      <c r="C87" s="69"/>
      <c r="D87" s="69"/>
      <c r="E87" s="29"/>
      <c r="F87" s="29" t="s">
        <v>5</v>
      </c>
      <c r="G87" s="29"/>
      <c r="H87" s="29"/>
    </row>
    <row r="88" spans="1:12">
      <c r="A88" s="69"/>
      <c r="B88" s="69"/>
      <c r="C88" s="69"/>
      <c r="D88" s="69"/>
      <c r="E88" s="4"/>
      <c r="L88" s="4"/>
    </row>
    <row r="89" spans="1:12">
      <c r="D89" s="9"/>
      <c r="E89" s="4"/>
      <c r="L89" s="4"/>
    </row>
    <row r="90" spans="1:12">
      <c r="A90" s="4" t="str">
        <f>'[1]all data'!A13</f>
        <v xml:space="preserve">General Manager: /Генеральный директор: </v>
      </c>
      <c r="C90" s="4"/>
      <c r="D90" s="9"/>
      <c r="F90" s="9" t="str">
        <f>'[1]all data'!A8</f>
        <v xml:space="preserve">Director: / Директор: </v>
      </c>
    </row>
    <row r="91" spans="1:12">
      <c r="C91" s="21" t="str">
        <f>'[1]all data'!C13</f>
        <v>Цацулин А.В.</v>
      </c>
      <c r="D91" s="9"/>
      <c r="I91" s="70" t="str">
        <f>'[1]all data'!B8</f>
        <v>Xu Kun</v>
      </c>
    </row>
    <row r="92" spans="1:12" ht="29.25" customHeight="1"/>
  </sheetData>
  <mergeCells count="14">
    <mergeCell ref="B63:E63"/>
    <mergeCell ref="F63:G63"/>
    <mergeCell ref="H63:J63"/>
    <mergeCell ref="K63:L63"/>
    <mergeCell ref="E69:F69"/>
    <mergeCell ref="A87:D88"/>
    <mergeCell ref="A1:L1"/>
    <mergeCell ref="A2:L2"/>
    <mergeCell ref="E5:F5"/>
    <mergeCell ref="J11:K11"/>
    <mergeCell ref="B62:E62"/>
    <mergeCell ref="F62:G62"/>
    <mergeCell ref="H62:J62"/>
    <mergeCell ref="K62:L62"/>
  </mergeCells>
  <printOptions horizontalCentered="1"/>
  <pageMargins left="0.31496062992125984" right="0.27559055118110237" top="0.47244094488188981" bottom="0.51181102362204722" header="0.31496062992125984" footer="0.31496062992125984"/>
  <pageSetup paperSize="9" scale="45" fitToHeight="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спецификация</vt:lpstr>
      <vt:lpstr>спецификация!Область_печати</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User016</dc:creator>
  <cp:lastModifiedBy>User016</cp:lastModifiedBy>
  <dcterms:created xsi:type="dcterms:W3CDTF">2018-10-09T09:44:25Z</dcterms:created>
  <dcterms:modified xsi:type="dcterms:W3CDTF">2018-10-09T09:44:47Z</dcterms:modified>
</cp:coreProperties>
</file>